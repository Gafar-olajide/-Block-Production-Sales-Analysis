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cuments\Hollajidex Doc\PORTFOLIO doc; REMOTE CVs; LINKDIN opt; FREELANCE profile\MY PROJECT\DATASETs\BLOCK PRODUCTION &amp; SALES\"/>
    </mc:Choice>
  </mc:AlternateContent>
  <bookViews>
    <workbookView xWindow="0" yWindow="0" windowWidth="12870" windowHeight="6990" tabRatio="906" firstSheet="7" activeTab="12"/>
  </bookViews>
  <sheets>
    <sheet name="SALES__DATA" sheetId="8" r:id="rId1"/>
    <sheet name="PRODUCTION_DATA" sheetId="9" r:id="rId2"/>
    <sheet name="TIME OF PRODUCTION" sheetId="22" r:id="rId3"/>
    <sheet name="COST BREAKDOWN OVER TIME" sheetId="25" r:id="rId4"/>
    <sheet name="INPUT vs OUTPUT EFFICIENCY" sheetId="23" r:id="rId5"/>
    <sheet name="TIME OF SALES" sheetId="18" r:id="rId6"/>
    <sheet name="RATE PER BLOCK TYPES OVERTIME" sheetId="38" r:id="rId7"/>
    <sheet name="CUSTOMER VALUE ANALYSIS " sheetId="16" r:id="rId8"/>
    <sheet name="CUSTOMER CREDIT RISK " sheetId="17" r:id="rId9"/>
    <sheet name="PROFIT ANALYSIS OVER TIME " sheetId="24" r:id="rId10"/>
    <sheet name="OVERALL_TOTAL" sheetId="2" r:id="rId11"/>
    <sheet name="KPI_DASHBOARD" sheetId="4" r:id="rId12"/>
    <sheet name="CHARTS" sheetId="40" r:id="rId13"/>
  </sheets>
  <externalReferences>
    <externalReference r:id="rId14"/>
  </externalReferences>
  <definedNames>
    <definedName name="_9_Inches">#REF!</definedName>
    <definedName name="_xlcn.WorksheetConnection_PRODUCTION_DATAA1V501" hidden="1">PRODUCTION_DATA!$A$1:$V$50</definedName>
  </definedNames>
  <calcPr calcId="152511"/>
  <pivotCaches>
    <pivotCache cacheId="0" r:id="rId15"/>
    <pivotCache cacheId="1" r:id="rId16"/>
    <pivotCache cacheId="3" r:id="rId17"/>
  </pivotCaches>
  <extLst>
    <ext xmlns:x15="http://schemas.microsoft.com/office/spreadsheetml/2010/11/main" uri="{FCE2AD5D-F65C-4FA6-A056-5C36A1767C68}">
      <x15:dataModel>
        <x15:modelTables>
          <x15:modelTable id="Range-028a7f51-1cb7-43fa-849f-5a196df0f6fb" name="Range" connection="WorksheetConnection_PRODUCTION_DATA!$A$1:$V$50"/>
        </x15:modelTables>
      </x15:dataModel>
    </ext>
  </extLst>
</workbook>
</file>

<file path=xl/calcChain.xml><?xml version="1.0" encoding="utf-8"?>
<calcChain xmlns="http://schemas.openxmlformats.org/spreadsheetml/2006/main">
  <c r="B95" i="40" l="1"/>
  <c r="B94" i="40"/>
  <c r="B93" i="40"/>
  <c r="B92" i="40"/>
  <c r="B91" i="40"/>
  <c r="B90" i="40"/>
  <c r="F69" i="24" l="1"/>
  <c r="D70" i="24" s="1"/>
  <c r="E65" i="24"/>
  <c r="D65" i="24"/>
  <c r="C65" i="24"/>
  <c r="F65" i="24" s="1"/>
  <c r="E66" i="24" l="1"/>
  <c r="C66" i="24"/>
  <c r="D66" i="24"/>
  <c r="E70" i="24"/>
  <c r="F66" i="24"/>
  <c r="C70" i="24"/>
  <c r="B3" i="2"/>
  <c r="E67" i="24"/>
  <c r="C67" i="24"/>
  <c r="D67" i="24"/>
  <c r="D68" i="24" l="1"/>
  <c r="E68" i="24"/>
  <c r="C68" i="24"/>
  <c r="F68" i="24" s="1"/>
  <c r="C71" i="24" s="1"/>
  <c r="F67" i="24"/>
  <c r="F70" i="24"/>
  <c r="C72" i="24" l="1"/>
  <c r="D71" i="24"/>
  <c r="D72" i="24" s="1"/>
  <c r="D73" i="24" s="1"/>
  <c r="E71" i="24"/>
  <c r="E72" i="24" s="1"/>
  <c r="E73" i="24" s="1"/>
  <c r="L38" i="23"/>
  <c r="L33" i="23"/>
  <c r="L21" i="23"/>
  <c r="L8" i="23"/>
  <c r="L6" i="23"/>
  <c r="K38" i="23"/>
  <c r="K33" i="23"/>
  <c r="K21" i="23"/>
  <c r="J33" i="23"/>
  <c r="L21" i="22"/>
  <c r="L8" i="22"/>
  <c r="L38" i="22"/>
  <c r="L33" i="22"/>
  <c r="L6" i="22"/>
  <c r="F71" i="24" l="1"/>
  <c r="F72" i="24"/>
  <c r="C73" i="24"/>
  <c r="F73" i="24" s="1"/>
  <c r="K8" i="23"/>
  <c r="I8" i="23"/>
  <c r="I38" i="23"/>
  <c r="J6" i="23"/>
  <c r="J8" i="23"/>
  <c r="I6" i="23"/>
  <c r="J21" i="23"/>
  <c r="I21" i="23"/>
  <c r="K6" i="23"/>
  <c r="I33" i="23"/>
  <c r="J38" i="23"/>
  <c r="J4" i="24"/>
  <c r="J58" i="24"/>
  <c r="J6" i="24"/>
  <c r="J45" i="24"/>
  <c r="J19" i="24"/>
  <c r="J32" i="24"/>
  <c r="D74" i="24" l="1"/>
  <c r="D75" i="24" s="1"/>
  <c r="E74" i="24"/>
  <c r="E75" i="24" s="1"/>
  <c r="C74" i="24"/>
  <c r="F199" i="8"/>
  <c r="F198" i="8"/>
  <c r="F197" i="8"/>
  <c r="F196" i="8"/>
  <c r="F195" i="8"/>
  <c r="F194" i="8"/>
  <c r="F193" i="8"/>
  <c r="F192" i="8"/>
  <c r="F191" i="8"/>
  <c r="F190" i="8"/>
  <c r="F189" i="8"/>
  <c r="F188" i="8"/>
  <c r="F187" i="8"/>
  <c r="F186" i="8"/>
  <c r="F185" i="8"/>
  <c r="F184" i="8"/>
  <c r="F183" i="8"/>
  <c r="F182" i="8"/>
  <c r="F181" i="8"/>
  <c r="F180" i="8"/>
  <c r="F179" i="8"/>
  <c r="F178" i="8"/>
  <c r="F177" i="8"/>
  <c r="F176" i="8"/>
  <c r="F175" i="8"/>
  <c r="F174" i="8"/>
  <c r="F173" i="8"/>
  <c r="F172" i="8"/>
  <c r="F171" i="8"/>
  <c r="F170" i="8"/>
  <c r="F169" i="8"/>
  <c r="F168" i="8"/>
  <c r="F167" i="8"/>
  <c r="F166" i="8"/>
  <c r="F165" i="8"/>
  <c r="F164" i="8"/>
  <c r="F163" i="8"/>
  <c r="F162" i="8"/>
  <c r="F161" i="8"/>
  <c r="F160" i="8"/>
  <c r="F159" i="8"/>
  <c r="F158" i="8"/>
  <c r="F157" i="8"/>
  <c r="F156" i="8"/>
  <c r="F155" i="8"/>
  <c r="F154" i="8"/>
  <c r="F153" i="8"/>
  <c r="F152" i="8"/>
  <c r="F151" i="8"/>
  <c r="F150" i="8"/>
  <c r="F149" i="8"/>
  <c r="F148" i="8"/>
  <c r="F147" i="8"/>
  <c r="F146" i="8"/>
  <c r="F145" i="8"/>
  <c r="F144" i="8"/>
  <c r="F143" i="8"/>
  <c r="F142" i="8"/>
  <c r="F141" i="8"/>
  <c r="F140" i="8"/>
  <c r="F139" i="8"/>
  <c r="F138" i="8"/>
  <c r="F137" i="8"/>
  <c r="F136" i="8"/>
  <c r="F135" i="8"/>
  <c r="F134" i="8"/>
  <c r="F133" i="8"/>
  <c r="F132" i="8"/>
  <c r="F131" i="8"/>
  <c r="F130" i="8"/>
  <c r="F129" i="8"/>
  <c r="F128" i="8"/>
  <c r="F127" i="8"/>
  <c r="F126" i="8"/>
  <c r="F125" i="8"/>
  <c r="F124" i="8"/>
  <c r="F123" i="8"/>
  <c r="F122" i="8"/>
  <c r="F121" i="8"/>
  <c r="F120" i="8"/>
  <c r="F119" i="8"/>
  <c r="F118" i="8"/>
  <c r="F117" i="8"/>
  <c r="F116" i="8"/>
  <c r="F115" i="8"/>
  <c r="F114" i="8"/>
  <c r="F113" i="8"/>
  <c r="F112" i="8"/>
  <c r="F111" i="8"/>
  <c r="F110" i="8"/>
  <c r="F109" i="8"/>
  <c r="F108" i="8"/>
  <c r="F107" i="8"/>
  <c r="F106" i="8"/>
  <c r="F105" i="8"/>
  <c r="F104" i="8"/>
  <c r="F103" i="8"/>
  <c r="F102" i="8"/>
  <c r="F101" i="8"/>
  <c r="F100" i="8"/>
  <c r="F99" i="8"/>
  <c r="F98" i="8"/>
  <c r="F97" i="8"/>
  <c r="F96" i="8"/>
  <c r="F95" i="8"/>
  <c r="F94" i="8"/>
  <c r="F93" i="8"/>
  <c r="F92" i="8"/>
  <c r="F91" i="8"/>
  <c r="F90" i="8"/>
  <c r="F89" i="8"/>
  <c r="F88" i="8"/>
  <c r="F87" i="8"/>
  <c r="F86" i="8"/>
  <c r="F85" i="8"/>
  <c r="F84" i="8"/>
  <c r="F83" i="8"/>
  <c r="F82" i="8"/>
  <c r="F81" i="8"/>
  <c r="F80" i="8"/>
  <c r="F79" i="8"/>
  <c r="F78" i="8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B15" i="2" s="1"/>
  <c r="F3" i="8"/>
  <c r="F2" i="8"/>
  <c r="B20" i="4"/>
  <c r="F17" i="38"/>
  <c r="F29" i="38"/>
  <c r="F35" i="38"/>
  <c r="C75" i="24" l="1"/>
  <c r="F75" i="24" s="1"/>
  <c r="F74" i="24"/>
  <c r="C59" i="25"/>
  <c r="D59" i="25"/>
  <c r="E59" i="25"/>
  <c r="F59" i="25"/>
  <c r="G59" i="25"/>
  <c r="H59" i="25"/>
  <c r="D62" i="25"/>
  <c r="E62" i="25"/>
  <c r="F62" i="25"/>
  <c r="C62" i="25"/>
  <c r="B59" i="25" l="1"/>
  <c r="B62" i="25"/>
  <c r="H63" i="25"/>
  <c r="E63" i="25"/>
  <c r="G63" i="25"/>
  <c r="F63" i="25"/>
  <c r="C63" i="25"/>
  <c r="D63" i="25"/>
  <c r="B63" i="25" l="1"/>
  <c r="C64" i="25"/>
  <c r="D64" i="25"/>
  <c r="E64" i="25"/>
  <c r="F64" i="25"/>
  <c r="G64" i="25"/>
  <c r="H64" i="25"/>
  <c r="B64" i="25" l="1"/>
  <c r="F65" i="25"/>
  <c r="G65" i="25"/>
  <c r="H65" i="25"/>
  <c r="D65" i="25"/>
  <c r="C65" i="25"/>
  <c r="E65" i="25"/>
  <c r="B65" i="25" l="1"/>
  <c r="G66" i="25"/>
  <c r="E66" i="25"/>
  <c r="H66" i="25"/>
  <c r="C66" i="25"/>
  <c r="D66" i="25"/>
  <c r="F66" i="25"/>
  <c r="B66" i="25" l="1"/>
  <c r="C67" i="25"/>
  <c r="D67" i="25"/>
  <c r="E67" i="25"/>
  <c r="F67" i="25"/>
  <c r="G67" i="25"/>
  <c r="H67" i="25"/>
  <c r="B18" i="4" l="1"/>
  <c r="B33" i="4"/>
  <c r="B32" i="4"/>
  <c r="B17" i="4"/>
  <c r="B16" i="4"/>
  <c r="B15" i="4"/>
  <c r="B23" i="4"/>
  <c r="B25" i="4" s="1"/>
  <c r="B22" i="4"/>
  <c r="B21" i="4"/>
  <c r="B19" i="4"/>
  <c r="B10" i="4"/>
  <c r="B9" i="4"/>
  <c r="B8" i="4"/>
  <c r="B7" i="4"/>
  <c r="B30" i="4"/>
  <c r="B6" i="4"/>
  <c r="B5" i="4"/>
  <c r="B4" i="4"/>
  <c r="B3" i="4"/>
  <c r="B20" i="2"/>
  <c r="B21" i="2"/>
  <c r="B12" i="4" l="1"/>
  <c r="B11" i="4"/>
  <c r="B24" i="4"/>
  <c r="G47" i="22" l="1"/>
  <c r="G46" i="22"/>
  <c r="G45" i="22"/>
  <c r="G44" i="22"/>
  <c r="G43" i="22"/>
  <c r="G42" i="22"/>
  <c r="G41" i="22"/>
  <c r="G40" i="22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9" i="22"/>
  <c r="G8" i="22"/>
  <c r="G7" i="22"/>
  <c r="G6" i="22"/>
  <c r="B18" i="2" l="1"/>
  <c r="B30" i="2" s="1"/>
  <c r="B17" i="2"/>
  <c r="B14" i="2"/>
  <c r="B16" i="2"/>
  <c r="B26" i="2"/>
  <c r="B25" i="2"/>
  <c r="B22" i="2"/>
  <c r="B24" i="2"/>
  <c r="B13" i="2"/>
  <c r="B12" i="2"/>
  <c r="B11" i="2"/>
  <c r="B10" i="2"/>
  <c r="B9" i="2"/>
  <c r="B5" i="2"/>
  <c r="B4" i="2"/>
  <c r="B2" i="2"/>
  <c r="B28" i="2" l="1"/>
  <c r="B29" i="2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PRODUCTION_DATA!$A$1:$V$50" type="102" refreshedVersion="5" minRefreshableVersion="5">
    <extLst>
      <ext xmlns:x15="http://schemas.microsoft.com/office/spreadsheetml/2010/11/main" uri="{DE250136-89BD-433C-8126-D09CA5730AF9}">
        <x15:connection id="Range-028a7f51-1cb7-43fa-849f-5a196df0f6fb" autoDelete="1">
          <x15:rangePr sourceName="_xlcn.WorksheetConnection_PRODUCTION_DATAA1V501"/>
        </x15:connection>
      </ext>
    </extLst>
  </connection>
</connections>
</file>

<file path=xl/sharedStrings.xml><?xml version="1.0" encoding="utf-8"?>
<sst xmlns="http://schemas.openxmlformats.org/spreadsheetml/2006/main" count="1394" uniqueCount="270">
  <si>
    <t>Date</t>
  </si>
  <si>
    <t>Qty Sold</t>
  </si>
  <si>
    <t>Revenue</t>
  </si>
  <si>
    <t>Cement Cost</t>
  </si>
  <si>
    <t>Sand Cost</t>
  </si>
  <si>
    <t>Maintenance</t>
  </si>
  <si>
    <t>Total Cost</t>
  </si>
  <si>
    <t>Bad Debt</t>
  </si>
  <si>
    <t>Total Revenue</t>
  </si>
  <si>
    <t>Total Profit</t>
  </si>
  <si>
    <t>Customer Name</t>
  </si>
  <si>
    <t>Product Type</t>
  </si>
  <si>
    <t>Bag Produced</t>
  </si>
  <si>
    <t>Operators' Payment</t>
  </si>
  <si>
    <t>Ltr. Of Fuel</t>
  </si>
  <si>
    <t>Fuel Cost</t>
  </si>
  <si>
    <t>Delivery Cost</t>
  </si>
  <si>
    <t>9 Inches</t>
  </si>
  <si>
    <t>7 Inches</t>
  </si>
  <si>
    <t>6 Inches</t>
  </si>
  <si>
    <t>6 Inches Qty</t>
  </si>
  <si>
    <t>7 Inches Qty</t>
  </si>
  <si>
    <t>9 Inches Qty</t>
  </si>
  <si>
    <t>Total Qty Produced</t>
  </si>
  <si>
    <t>Total Qty Sold</t>
  </si>
  <si>
    <t xml:space="preserve">Tons Of Sand </t>
  </si>
  <si>
    <t xml:space="preserve">Bags of Cement </t>
  </si>
  <si>
    <t>DAD SEMILORE</t>
  </si>
  <si>
    <t xml:space="preserve">Rate </t>
  </si>
  <si>
    <t>ORIYOMI</t>
  </si>
  <si>
    <t>CSTM@OKO-OPE</t>
  </si>
  <si>
    <t>Nearby CSTM@OKO-OPE</t>
  </si>
  <si>
    <t>IYA ADURA</t>
  </si>
  <si>
    <t>BABA IBEJI BRICK-LAYER</t>
  </si>
  <si>
    <t>BABA SAMSON</t>
  </si>
  <si>
    <t>SERIKI</t>
  </si>
  <si>
    <t>CHURCH ORIOKE</t>
  </si>
  <si>
    <t>CORNERPIECE</t>
  </si>
  <si>
    <t>Amount</t>
  </si>
  <si>
    <t>ARISE CSTM</t>
  </si>
  <si>
    <t>ALHJ ONAARA</t>
  </si>
  <si>
    <t>OLORI</t>
  </si>
  <si>
    <t>OGA SANMI</t>
  </si>
  <si>
    <t>SUPRISE MUMMY</t>
  </si>
  <si>
    <t>ENG. WAHEED</t>
  </si>
  <si>
    <t>ADEBISI SCH.</t>
  </si>
  <si>
    <t>IYA IZOBO REFERRAL 1</t>
  </si>
  <si>
    <t>NEPA CSTM</t>
  </si>
  <si>
    <t>DAD PRAISE</t>
  </si>
  <si>
    <t>MR&amp;MRS OMOLERE</t>
  </si>
  <si>
    <t>BABA OLOKO CSTM</t>
  </si>
  <si>
    <t>DAD PRAISE REFERRAL 3</t>
  </si>
  <si>
    <t>DAD PRAISE REFERRAL 1</t>
  </si>
  <si>
    <t>BRICKLAYER CONERPICE 2</t>
  </si>
  <si>
    <t>BRICKLAYER CONERPIEC 1</t>
  </si>
  <si>
    <t>GBAJUE CSTM</t>
  </si>
  <si>
    <t>AYO CSTM</t>
  </si>
  <si>
    <t>JAWA CSTM</t>
  </si>
  <si>
    <t>MOSHOOD JOSEPH</t>
  </si>
  <si>
    <t>BISHOP BRICKLAYER</t>
  </si>
  <si>
    <t>SUPRISE MUMMY FRIEND</t>
  </si>
  <si>
    <t>DAD PRAISE REFERRAL 4</t>
  </si>
  <si>
    <t>D.P.R.3 BRICKLAYER</t>
  </si>
  <si>
    <t>CSTM AJEIGBE</t>
  </si>
  <si>
    <t>IYA SODIQ</t>
  </si>
  <si>
    <t>SURVEYOR CSTM</t>
  </si>
  <si>
    <t>MR JEREMIAH</t>
  </si>
  <si>
    <t>ALHAJA CSTM RFRL 1</t>
  </si>
  <si>
    <t>ALHAJA CSTM RFRL 2</t>
  </si>
  <si>
    <t>CSTM TEMITOPE</t>
  </si>
  <si>
    <t>MR ADEBAYO/NICE CSTM</t>
  </si>
  <si>
    <t>IJIKU POULTRY CSTM</t>
  </si>
  <si>
    <t>MR LUKMAN NEIGHBOUR</t>
  </si>
  <si>
    <t>BABA ASOLO</t>
  </si>
  <si>
    <t>ENG. LEKAN/BABA</t>
  </si>
  <si>
    <t>DAD SALAM BRICKLAYER</t>
  </si>
  <si>
    <t>BRICKLAYER D.P.R.3</t>
  </si>
  <si>
    <t>DAD EMA WELDER CSTM</t>
  </si>
  <si>
    <t>BRICKLAYER TELLA</t>
  </si>
  <si>
    <t>CSTM DADA</t>
  </si>
  <si>
    <t>CSTM DADA TAIWO</t>
  </si>
  <si>
    <t>CSTM CHIBUIKE</t>
  </si>
  <si>
    <t>NEIGHBOUR EZEKIEL</t>
  </si>
  <si>
    <t>BRICKLAYER SURVEYOR</t>
  </si>
  <si>
    <t>CSTM ATOYEBI FARUQ</t>
  </si>
  <si>
    <t>SAMBEST REFERRAL 1</t>
  </si>
  <si>
    <t>MAMA DAADA</t>
  </si>
  <si>
    <t>ELECT. AFEEZ</t>
  </si>
  <si>
    <t>CSTM TUNDE</t>
  </si>
  <si>
    <t>CSTM. EGBON SEUN</t>
  </si>
  <si>
    <t>MR FLORENCE</t>
  </si>
  <si>
    <t>CHIEF LEJOFI</t>
  </si>
  <si>
    <t>CSTM. ISMAIL</t>
  </si>
  <si>
    <t>CSTM. LUKMAN</t>
  </si>
  <si>
    <t>OFFISER HASSAN</t>
  </si>
  <si>
    <t>BABA ADINI</t>
  </si>
  <si>
    <t>MR. OLA CSTM</t>
  </si>
  <si>
    <t>PAAPA</t>
  </si>
  <si>
    <t>ENG. WAHEED PLUMBER</t>
  </si>
  <si>
    <t>CAPENTER CSTM</t>
  </si>
  <si>
    <t>Arrangement falling</t>
  </si>
  <si>
    <t>CSTM. BUSUYI ALUKO</t>
  </si>
  <si>
    <t>OBALOLUWA BLOCK</t>
  </si>
  <si>
    <t>THIEVES</t>
  </si>
  <si>
    <t>ENG. TUNDE</t>
  </si>
  <si>
    <t>CSTM. BINTINLAYE</t>
  </si>
  <si>
    <t>CSTM. WILLY</t>
  </si>
  <si>
    <t>AHLU SUNNAH</t>
  </si>
  <si>
    <t>MR&amp;MRS ESUPOFO</t>
  </si>
  <si>
    <t>CSTM. KAYODE</t>
  </si>
  <si>
    <t>NEIGHBOR OLUWATOYIN</t>
  </si>
  <si>
    <t>CSTM. BUSH</t>
  </si>
  <si>
    <t>CSTM. OLUAYAN</t>
  </si>
  <si>
    <t>CSTM. AWE</t>
  </si>
  <si>
    <t>Row Labels</t>
  </si>
  <si>
    <t>Grand Total</t>
  </si>
  <si>
    <t>SATURDAY</t>
  </si>
  <si>
    <t>WEDNESDAY</t>
  </si>
  <si>
    <t>MONDAY</t>
  </si>
  <si>
    <t>TUESDAY</t>
  </si>
  <si>
    <t>FRIDAY</t>
  </si>
  <si>
    <t>THURSDAY</t>
  </si>
  <si>
    <t>SUNDAY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</si>
  <si>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</si>
  <si>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</si>
  <si>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</si>
  <si>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</si>
  <si>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</si>
  <si>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</si>
  <si>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</si>
  <si>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</si>
  <si>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</si>
  <si>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</si>
  <si>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</si>
  <si>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</si>
  <si>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SURVEYOR SAMBEST</t>
  </si>
  <si>
    <t>EGBON BIOYE</t>
  </si>
  <si>
    <t>DEC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</si>
  <si>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</si>
  <si>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</si>
  <si>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</si>
  <si>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</si>
  <si>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</si>
  <si>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</si>
  <si>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</si>
  <si>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</si>
  <si>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</si>
  <si>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</si>
  <si>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DAILY</t>
  </si>
  <si>
    <t>MONTHLY</t>
  </si>
  <si>
    <t>ANUALLY</t>
  </si>
  <si>
    <t>Column Labels</t>
  </si>
  <si>
    <t>Sum of Qty Sold</t>
  </si>
  <si>
    <t>Date Of Sales</t>
  </si>
  <si>
    <t>(All)</t>
  </si>
  <si>
    <t>Sum of Amount</t>
  </si>
  <si>
    <t>DAD PRAISE REFERRAL 2</t>
  </si>
  <si>
    <t>Sum of Revenue</t>
  </si>
  <si>
    <t>Sum of Total Cost</t>
  </si>
  <si>
    <t>Sum of Total Qty Produced</t>
  </si>
  <si>
    <t>Sum of Total Profit</t>
  </si>
  <si>
    <t>Sum of Total Revenue</t>
  </si>
  <si>
    <t>Sum of Delivery Cost</t>
  </si>
  <si>
    <t>Sum of Cement Cost</t>
  </si>
  <si>
    <t>Sum of Operators' Payment</t>
  </si>
  <si>
    <t>Sum of Sand Cost</t>
  </si>
  <si>
    <t>Sum of Maintenance</t>
  </si>
  <si>
    <t>Sum of Fuel Cost</t>
  </si>
  <si>
    <t>Sum of Bad Debt</t>
  </si>
  <si>
    <t>DEBT RATE =BAD DEBT/TOTAL AMOUNT</t>
  </si>
  <si>
    <t xml:space="preserve">COST per unit = TOTAL COST / TOTAL QTY PRODUCED </t>
  </si>
  <si>
    <t xml:space="preserve">Sum of Rate </t>
  </si>
  <si>
    <t xml:space="preserve">Average of Rate </t>
  </si>
  <si>
    <t>Profit_Margin</t>
  </si>
  <si>
    <t>Production_Efficiency</t>
  </si>
  <si>
    <t xml:space="preserve">Bad Debt_Rate </t>
  </si>
  <si>
    <t xml:space="preserve">               VARIABLE COSTS</t>
  </si>
  <si>
    <t xml:space="preserve">                  FIXED COSTS</t>
  </si>
  <si>
    <t xml:space="preserve">                       RATES</t>
  </si>
  <si>
    <t>METRIC</t>
  </si>
  <si>
    <t>VALUE</t>
  </si>
  <si>
    <t xml:space="preserve">                FINANCIAL KPIs</t>
  </si>
  <si>
    <t>Profit_Margin%</t>
  </si>
  <si>
    <t>Bad Debt_Rate %</t>
  </si>
  <si>
    <t xml:space="preserve">            PRODUCTION KPIs</t>
  </si>
  <si>
    <t xml:space="preserve">                   SALES KPIs</t>
  </si>
  <si>
    <t xml:space="preserve">                   OPERATIONAL KPIs</t>
  </si>
  <si>
    <t>Cost per Block</t>
  </si>
  <si>
    <t>Total Cost %</t>
  </si>
  <si>
    <t>Year of Production</t>
  </si>
  <si>
    <t>Sand Cost %</t>
  </si>
  <si>
    <t>Cement Cost %</t>
  </si>
  <si>
    <t>Operator Cost %</t>
  </si>
  <si>
    <t>Fuel Cost %</t>
  </si>
  <si>
    <t>Maintenance Cost %</t>
  </si>
  <si>
    <t>Delivery Cost %</t>
  </si>
  <si>
    <t xml:space="preserve">    TOTAL % COST VOLATILITY </t>
  </si>
  <si>
    <t>Grand Total% (Major Cost_Driver)</t>
  </si>
  <si>
    <t>Sum of Bag Produced</t>
  </si>
  <si>
    <t>ESTIMATED BAD DEBT RATIO =BAD_DEBT/REVENUE %</t>
  </si>
  <si>
    <t>PRODUCTION EFFICIENCY = QTY_PRODUCED / TOTAL_COST</t>
  </si>
  <si>
    <t>LABOUR PRODUCTIVITY = QTY_PRODUCED / OPERATORS' PAYMENT</t>
  </si>
  <si>
    <t>MATERIAL EFFICIENCY= QTY_PRODUCED / BAG PRODUCED</t>
  </si>
  <si>
    <t>Sum of Total Qty Sold</t>
  </si>
  <si>
    <t>WASTAGE RATIO = DAMAGE_QTY / QTY_PRODUCED %</t>
  </si>
  <si>
    <t>PRODUCTION vs SALES EFFICIENCY = QTY_SOLD / QTY_PRODUCED %</t>
  </si>
  <si>
    <t>UNSOLD RATIO = (QTY_PRODUCED - QTY_SOLD) / QTY_PRODUCED %</t>
  </si>
  <si>
    <t xml:space="preserve">LABOUR COST per BAG =  TOTAL OPERATORS' PAYMENT / TOTAL_QTY of BAGS_PRODUCED </t>
  </si>
  <si>
    <t xml:space="preserve">YEAR-ON-YEAR GROWTH (YOY) = (CURRENT YEAR - PREVIOUS YEAR) / PREVIOSE YEAR % </t>
  </si>
  <si>
    <t>Total Amount</t>
  </si>
  <si>
    <t>Sum of 9 Inches Qty</t>
  </si>
  <si>
    <t>Sum of 7 Inches Qty</t>
  </si>
  <si>
    <t>Sum of 6 Inches Qty</t>
  </si>
  <si>
    <t>6 Inches Qty Produced</t>
  </si>
  <si>
    <t>7 Inches Qty Produced</t>
  </si>
  <si>
    <t>9 Inches Qty Produced</t>
  </si>
  <si>
    <t>6 Inches Qty Sold</t>
  </si>
  <si>
    <t>7 Inches Qty Sold</t>
  </si>
  <si>
    <t>9 Inches Qty Sold</t>
  </si>
  <si>
    <t>Cost vs Profit Relationship</t>
  </si>
  <si>
    <t>METRICS</t>
  </si>
  <si>
    <t>Cost vs Profit Relationship = PROFIT / COST %</t>
  </si>
  <si>
    <t xml:space="preserve">Sum of Tons Of Sand </t>
  </si>
  <si>
    <t>LABOUR PRODUCTIVITY</t>
  </si>
  <si>
    <t xml:space="preserve"> SAND EFFICIENCY</t>
  </si>
  <si>
    <t xml:space="preserve"> CEMENT EFFICIENCY</t>
  </si>
  <si>
    <t>6 Inches Qty Sold/Bag</t>
  </si>
  <si>
    <t>7 Inches Qty Sold/Bag</t>
  </si>
  <si>
    <t>9 Inches Qty Sold/Bag</t>
  </si>
  <si>
    <t>Total</t>
  </si>
  <si>
    <t>% worth on T-Profit</t>
  </si>
  <si>
    <t>% worth of Block Qty</t>
  </si>
  <si>
    <t xml:space="preserve">Actual Profit per Bag </t>
  </si>
  <si>
    <t>Block Qty per Bag</t>
  </si>
  <si>
    <t>Overall Profit per  T-Bag units</t>
  </si>
  <si>
    <t>Block Type per Total Bags</t>
  </si>
  <si>
    <t>Difference of Total Profit</t>
  </si>
  <si>
    <t>PROFIT per Block Type Qty Sold</t>
  </si>
  <si>
    <t>%Block Qty of T-Profit Diff.</t>
  </si>
  <si>
    <t>% T-Bag units</t>
  </si>
  <si>
    <t xml:space="preserve">Unit Profit per Bag </t>
  </si>
  <si>
    <t>Total Qty Sold/Block Qty</t>
  </si>
  <si>
    <t>% T-Bag units * Total-Profit</t>
  </si>
  <si>
    <t>% worth on T-Profit / Block Type per Bags</t>
  </si>
  <si>
    <t>Block Type Bags /Total %</t>
  </si>
  <si>
    <t>Block Qty per Bag / Total %</t>
  </si>
  <si>
    <t>% worth of Block Qty * Unit Profit per Bag</t>
  </si>
  <si>
    <t>Actual Profit per Bag  * Block Type per T-Bags</t>
  </si>
  <si>
    <t>% worth on T-Profit - Overall Profit per  T-Bag units</t>
  </si>
  <si>
    <t>% worth of Block Qty * TOTAL Difference of Total Profit</t>
  </si>
  <si>
    <t>%Block Qty of T-Profit Diff. + Overall Profit per  T-Bag units</t>
  </si>
  <si>
    <t>HINTS</t>
  </si>
  <si>
    <t>BLOCK TYPE (6, 7 &amp; 9) PROFIT per BAG = "SALES PER BAG - COSTS PER BAG"  or  "% WORTH OF BLOCK QTY * UNIT PROFIT PER BAG"</t>
  </si>
  <si>
    <t>PROFIT MARGIN ="PROFIT/REVENUE"    or     "REVENUE-TOTAL COST/REVENUE %"</t>
  </si>
  <si>
    <t>PROFIT</t>
  </si>
  <si>
    <t>Year</t>
  </si>
  <si>
    <t>Production vs Sales</t>
  </si>
  <si>
    <t>Production vs Cost</t>
  </si>
  <si>
    <t>Production vs Revenue</t>
  </si>
  <si>
    <t>Production vs Profit</t>
  </si>
  <si>
    <t>Cost vs Profit</t>
  </si>
  <si>
    <t>Revenue vs Bad Debt</t>
  </si>
  <si>
    <t>METRIC PAIR</t>
  </si>
  <si>
    <t>STRENGHT</t>
  </si>
  <si>
    <t>Strong Positive</t>
  </si>
  <si>
    <t>Very Weak</t>
  </si>
  <si>
    <t>Weak Negative</t>
  </si>
  <si>
    <t>Moderate</t>
  </si>
  <si>
    <t xml:space="preserve">   Correlation Between Key Business Variables</t>
  </si>
  <si>
    <t>Wastage Ratio%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</si>
</sst>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_-;\-* #,##0.00_-;_-* &quot;-&quot;??_-;_-@_-"/>
    <numFmt numFmtId="164" formatCode="&quot;₦&quot;#,##0"/>
    <numFmt numFmtId="165" formatCode="[$-F800]dddd\,\ mmmm\ dd\,\ yyyy"/>
    <numFmt numFmtId="166" formatCode="_-* #,##0_-;\-* #,##0_-;_-* &quot;-&quot;??_-;_-@_-"/>
    <numFmt numFmtId="167" formatCode="&quot;₦&quot;#,##0.00"/>
    <numFmt numFmtId="168" formatCode="0.0000"/>
  </numFmts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9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7030A0"/>
      <name val="Bodoni MT"/>
      <family val="1"/>
    </font>
    <font>
      <sz val="11"/>
      <color theme="1"/>
      <name val="Bodoni MT"/>
      <family val="1"/>
    </font>
    <font>
      <b/>
      <sz val="11"/>
      <color theme="1"/>
      <name val="Bodoni MT"/>
      <family val="1"/>
    </font>
    <font>
      <u/>
      <sz val="11"/>
      <name val="Calibri"/>
      <family val="2"/>
      <scheme val="minor"/>
    </font>
    <font>
      <sz val="12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192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NumberFormat="1"/>
    <xf numFmtId="164" fontId="0" fillId="0" borderId="1" xfId="0" applyNumberFormat="1" applyBorder="1"/>
    <xf numFmtId="0" fontId="0" fillId="0" borderId="1" xfId="0" applyBorder="1"/>
    <xf numFmtId="0" fontId="0" fillId="0" borderId="1" xfId="0" applyNumberFormat="1" applyBorder="1"/>
    <xf numFmtId="164" fontId="3" fillId="0" borderId="1" xfId="0" applyNumberFormat="1" applyFont="1" applyFill="1" applyBorder="1" applyAlignment="1"/>
    <xf numFmtId="0" fontId="2" fillId="3" borderId="1" xfId="0" applyFont="1" applyFill="1" applyBorder="1" applyAlignment="1">
      <alignment horizontal="left"/>
    </xf>
    <xf numFmtId="0" fontId="8" fillId="3" borderId="0" xfId="0" applyFont="1" applyFill="1" applyAlignment="1">
      <alignment horizontal="left"/>
    </xf>
    <xf numFmtId="0" fontId="2" fillId="3" borderId="1" xfId="0" applyNumberFormat="1" applyFont="1" applyFill="1" applyBorder="1" applyAlignment="1">
      <alignment horizontal="left"/>
    </xf>
    <xf numFmtId="164" fontId="2" fillId="3" borderId="1" xfId="0" applyNumberFormat="1" applyFont="1" applyFill="1" applyBorder="1" applyAlignment="1">
      <alignment horizontal="left"/>
    </xf>
    <xf numFmtId="0" fontId="5" fillId="0" borderId="0" xfId="0" applyFont="1"/>
    <xf numFmtId="0" fontId="9" fillId="0" borderId="0" xfId="0" applyFont="1"/>
    <xf numFmtId="164" fontId="5" fillId="0" borderId="0" xfId="0" applyNumberFormat="1" applyFont="1"/>
    <xf numFmtId="0" fontId="5" fillId="0" borderId="0" xfId="0" applyNumberFormat="1" applyFont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indent="1"/>
    </xf>
    <xf numFmtId="164" fontId="0" fillId="0" borderId="1" xfId="0" pivotButton="1" applyNumberFormat="1" applyBorder="1"/>
    <xf numFmtId="164" fontId="0" fillId="0" borderId="1" xfId="0" applyNumberFormat="1" applyBorder="1" applyAlignment="1">
      <alignment horizontal="left"/>
    </xf>
    <xf numFmtId="0" fontId="0" fillId="0" borderId="0" xfId="0" pivotButton="1"/>
    <xf numFmtId="0" fontId="0" fillId="0" borderId="1" xfId="0" applyNumberFormat="1" applyBorder="1" applyAlignment="1">
      <alignment horizontal="left"/>
    </xf>
    <xf numFmtId="0" fontId="0" fillId="0" borderId="1" xfId="0" applyNumberFormat="1" applyBorder="1" applyAlignment="1">
      <alignment horizontal="left" indent="1"/>
    </xf>
    <xf numFmtId="0" fontId="11" fillId="0" borderId="0" xfId="0" applyFont="1"/>
    <xf numFmtId="166" fontId="0" fillId="0" borderId="0" xfId="1" applyNumberFormat="1" applyFont="1"/>
    <xf numFmtId="166" fontId="0" fillId="0" borderId="1" xfId="1" applyNumberFormat="1" applyFont="1" applyBorder="1"/>
    <xf numFmtId="166" fontId="0" fillId="0" borderId="1" xfId="0" applyNumberFormat="1" applyBorder="1"/>
    <xf numFmtId="164" fontId="5" fillId="0" borderId="1" xfId="0" applyNumberFormat="1" applyFont="1" applyBorder="1"/>
    <xf numFmtId="164" fontId="11" fillId="0" borderId="1" xfId="0" applyNumberFormat="1" applyFont="1" applyBorder="1"/>
    <xf numFmtId="0" fontId="8" fillId="5" borderId="0" xfId="0" applyFont="1" applyFill="1" applyAlignment="1">
      <alignment horizontal="left"/>
    </xf>
    <xf numFmtId="0" fontId="0" fillId="3" borderId="0" xfId="0" applyFill="1"/>
    <xf numFmtId="0" fontId="5" fillId="3" borderId="0" xfId="0" applyFont="1" applyFill="1"/>
    <xf numFmtId="0" fontId="9" fillId="3" borderId="0" xfId="0" applyFont="1" applyFill="1"/>
    <xf numFmtId="164" fontId="5" fillId="3" borderId="0" xfId="0" applyNumberFormat="1" applyFont="1" applyFill="1"/>
    <xf numFmtId="164" fontId="2" fillId="6" borderId="0" xfId="0" applyNumberFormat="1" applyFont="1" applyFill="1" applyBorder="1" applyAlignment="1">
      <alignment horizontal="left"/>
    </xf>
    <xf numFmtId="0" fontId="8" fillId="3" borderId="1" xfId="0" applyFont="1" applyFill="1" applyBorder="1" applyAlignment="1">
      <alignment horizontal="left"/>
    </xf>
    <xf numFmtId="2" fontId="0" fillId="0" borderId="1" xfId="0" applyNumberFormat="1" applyBorder="1"/>
    <xf numFmtId="164" fontId="2" fillId="6" borderId="2" xfId="0" applyNumberFormat="1" applyFont="1" applyFill="1" applyBorder="1" applyAlignment="1">
      <alignment horizontal="left"/>
    </xf>
    <xf numFmtId="0" fontId="2" fillId="6" borderId="2" xfId="0" applyFont="1" applyFill="1" applyBorder="1" applyAlignment="1">
      <alignment horizontal="left"/>
    </xf>
    <xf numFmtId="9" fontId="8" fillId="3" borderId="1" xfId="2" applyFont="1" applyFill="1" applyBorder="1" applyAlignment="1">
      <alignment horizontal="left"/>
    </xf>
    <xf numFmtId="9" fontId="0" fillId="0" borderId="0" xfId="2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17" fontId="0" fillId="0" borderId="0" xfId="0" applyNumberFormat="1" applyAlignment="1">
      <alignment horizontal="left" indent="1"/>
    </xf>
    <xf numFmtId="0" fontId="0" fillId="0" borderId="0" xfId="0" applyNumberFormat="1" applyAlignment="1">
      <alignment horizontal="left" indent="1"/>
    </xf>
    <xf numFmtId="9" fontId="0" fillId="0" borderId="0" xfId="2" applyNumberFormat="1" applyFont="1"/>
    <xf numFmtId="0" fontId="13" fillId="3" borderId="0" xfId="0" applyFont="1" applyFill="1"/>
    <xf numFmtId="9" fontId="13" fillId="3" borderId="0" xfId="2" applyFont="1" applyFill="1"/>
    <xf numFmtId="9" fontId="3" fillId="0" borderId="0" xfId="2" applyFont="1"/>
    <xf numFmtId="0" fontId="13" fillId="3" borderId="0" xfId="0" applyFont="1" applyFill="1" applyAlignment="1">
      <alignment horizontal="center" wrapText="1"/>
    </xf>
    <xf numFmtId="0" fontId="12" fillId="0" borderId="0" xfId="0" applyFont="1"/>
    <xf numFmtId="9" fontId="12" fillId="0" borderId="0" xfId="2" applyFont="1"/>
    <xf numFmtId="0" fontId="13" fillId="0" borderId="0" xfId="0" applyFont="1"/>
    <xf numFmtId="164" fontId="13" fillId="0" borderId="0" xfId="0" applyNumberFormat="1" applyFont="1"/>
    <xf numFmtId="9" fontId="13" fillId="0" borderId="0" xfId="0" applyNumberFormat="1" applyFont="1"/>
    <xf numFmtId="1" fontId="0" fillId="0" borderId="1" xfId="0" applyNumberFormat="1" applyBorder="1"/>
    <xf numFmtId="1" fontId="0" fillId="0" borderId="0" xfId="0" applyNumberFormat="1"/>
    <xf numFmtId="0" fontId="0" fillId="0" borderId="3" xfId="0" applyNumberFormat="1" applyBorder="1"/>
    <xf numFmtId="0" fontId="0" fillId="0" borderId="4" xfId="0" applyNumberFormat="1" applyBorder="1"/>
    <xf numFmtId="167" fontId="0" fillId="4" borderId="1" xfId="0" applyNumberFormat="1" applyFont="1" applyFill="1" applyBorder="1"/>
    <xf numFmtId="167" fontId="0" fillId="0" borderId="1" xfId="0" applyNumberFormat="1" applyFont="1" applyBorder="1"/>
    <xf numFmtId="0" fontId="0" fillId="0" borderId="5" xfId="0" applyNumberFormat="1" applyBorder="1"/>
    <xf numFmtId="0" fontId="0" fillId="0" borderId="0" xfId="0" applyNumberFormat="1" applyBorder="1"/>
    <xf numFmtId="167" fontId="0" fillId="2" borderId="1" xfId="0" applyNumberFormat="1" applyFont="1" applyFill="1" applyBorder="1"/>
    <xf numFmtId="166" fontId="0" fillId="0" borderId="1" xfId="0" pivotButton="1" applyNumberFormat="1" applyBorder="1"/>
    <xf numFmtId="0" fontId="14" fillId="0" borderId="0" xfId="0" applyFont="1"/>
    <xf numFmtId="166" fontId="0" fillId="0" borderId="0" xfId="0" applyNumberFormat="1"/>
    <xf numFmtId="9" fontId="0" fillId="0" borderId="1" xfId="2" applyFont="1" applyBorder="1"/>
    <xf numFmtId="9" fontId="1" fillId="0" borderId="6" xfId="2" applyFont="1" applyBorder="1"/>
    <xf numFmtId="164" fontId="3" fillId="0" borderId="1" xfId="0" applyNumberFormat="1" applyFont="1" applyBorder="1"/>
    <xf numFmtId="166" fontId="15" fillId="0" borderId="0" xfId="0" applyNumberFormat="1" applyFont="1"/>
    <xf numFmtId="164" fontId="0" fillId="0" borderId="7" xfId="0" applyNumberFormat="1" applyBorder="1"/>
    <xf numFmtId="164" fontId="0" fillId="6" borderId="0" xfId="0" applyNumberFormat="1" applyFill="1" applyBorder="1"/>
    <xf numFmtId="164" fontId="2" fillId="6" borderId="8" xfId="0" applyNumberFormat="1" applyFont="1" applyFill="1" applyBorder="1" applyAlignment="1">
      <alignment horizontal="left"/>
    </xf>
    <xf numFmtId="164" fontId="0" fillId="0" borderId="5" xfId="0" applyNumberFormat="1" applyBorder="1"/>
    <xf numFmtId="0" fontId="2" fillId="6" borderId="3" xfId="0" applyFont="1" applyFill="1" applyBorder="1" applyAlignment="1">
      <alignment horizontal="left"/>
    </xf>
    <xf numFmtId="0" fontId="0" fillId="6" borderId="0" xfId="0" applyNumberFormat="1" applyFill="1" applyBorder="1"/>
    <xf numFmtId="0" fontId="2" fillId="6" borderId="8" xfId="0" applyFont="1" applyFill="1" applyBorder="1" applyAlignment="1">
      <alignment horizontal="left"/>
    </xf>
    <xf numFmtId="164" fontId="1" fillId="5" borderId="7" xfId="0" applyNumberFormat="1" applyFont="1" applyFill="1" applyBorder="1"/>
    <xf numFmtId="166" fontId="0" fillId="0" borderId="5" xfId="1" applyNumberFormat="1" applyFont="1" applyBorder="1"/>
    <xf numFmtId="9" fontId="16" fillId="0" borderId="0" xfId="2" applyFont="1"/>
    <xf numFmtId="9" fontId="1" fillId="0" borderId="0" xfId="2" applyFont="1"/>
    <xf numFmtId="164" fontId="1" fillId="0" borderId="0" xfId="0" applyNumberFormat="1" applyFont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17" fillId="7" borderId="0" xfId="0" applyFont="1" applyFill="1" applyBorder="1"/>
    <xf numFmtId="0" fontId="17" fillId="3" borderId="0" xfId="0" applyFont="1" applyFill="1" applyBorder="1"/>
    <xf numFmtId="9" fontId="0" fillId="0" borderId="0" xfId="2" applyFont="1" applyBorder="1"/>
    <xf numFmtId="0" fontId="0" fillId="0" borderId="0" xfId="2" applyNumberFormat="1" applyFont="1" applyBorder="1"/>
    <xf numFmtId="0" fontId="17" fillId="7" borderId="0" xfId="2" applyNumberFormat="1" applyFont="1" applyFill="1" applyBorder="1"/>
    <xf numFmtId="0" fontId="0" fillId="0" borderId="0" xfId="2" applyNumberFormat="1" applyFont="1"/>
    <xf numFmtId="0" fontId="0" fillId="0" borderId="1" xfId="2" applyNumberFormat="1" applyFont="1" applyBorder="1"/>
    <xf numFmtId="1" fontId="0" fillId="0" borderId="0" xfId="0" applyNumberFormat="1" applyBorder="1"/>
    <xf numFmtId="166" fontId="0" fillId="0" borderId="0" xfId="0" applyNumberFormat="1" applyBorder="1"/>
    <xf numFmtId="168" fontId="0" fillId="0" borderId="0" xfId="2" applyNumberFormat="1" applyFont="1" applyBorder="1"/>
    <xf numFmtId="168" fontId="0" fillId="0" borderId="0" xfId="0" applyNumberFormat="1"/>
    <xf numFmtId="168" fontId="0" fillId="0" borderId="1" xfId="0" applyNumberFormat="1" applyBorder="1"/>
    <xf numFmtId="14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164" fontId="2" fillId="0" borderId="1" xfId="0" applyNumberFormat="1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vertical="center"/>
    </xf>
    <xf numFmtId="164" fontId="4" fillId="0" borderId="1" xfId="0" applyNumberFormat="1" applyFont="1" applyFill="1" applyBorder="1" applyAlignment="1">
      <alignment vertical="center"/>
    </xf>
    <xf numFmtId="14" fontId="3" fillId="0" borderId="1" xfId="0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/>
    <xf numFmtId="17" fontId="6" fillId="0" borderId="1" xfId="0" applyNumberFormat="1" applyFont="1" applyFill="1" applyBorder="1"/>
    <xf numFmtId="0" fontId="6" fillId="0" borderId="1" xfId="0" applyNumberFormat="1" applyFont="1" applyFill="1" applyBorder="1"/>
    <xf numFmtId="0" fontId="6" fillId="0" borderId="1" xfId="0" applyFont="1" applyFill="1" applyBorder="1"/>
    <xf numFmtId="164" fontId="6" fillId="0" borderId="1" xfId="0" applyNumberFormat="1" applyFont="1" applyFill="1" applyBorder="1"/>
    <xf numFmtId="0" fontId="3" fillId="0" borderId="1" xfId="0" applyFont="1" applyFill="1" applyBorder="1"/>
    <xf numFmtId="164" fontId="3" fillId="0" borderId="1" xfId="0" applyNumberFormat="1" applyFont="1" applyFill="1" applyBorder="1"/>
    <xf numFmtId="14" fontId="3" fillId="0" borderId="1" xfId="0" applyNumberFormat="1" applyFont="1" applyFill="1" applyBorder="1" applyAlignment="1"/>
    <xf numFmtId="167" fontId="0" fillId="0" borderId="0" xfId="0" applyNumberFormat="1"/>
    <xf numFmtId="164" fontId="0" fillId="0" borderId="0" xfId="2" applyNumberFormat="1" applyFont="1"/>
    <xf numFmtId="0" fontId="7" fillId="0" borderId="0" xfId="0" applyFont="1"/>
    <xf numFmtId="0" fontId="15" fillId="0" borderId="0" xfId="0" applyFont="1"/>
    <xf numFmtId="43" fontId="15" fillId="0" borderId="0" xfId="0" applyNumberFormat="1" applyFont="1"/>
    <xf numFmtId="0" fontId="15" fillId="3" borderId="0" xfId="0" applyFont="1" applyFill="1"/>
    <xf numFmtId="9" fontId="5" fillId="0" borderId="0" xfId="2" applyFont="1"/>
    <xf numFmtId="3" fontId="18" fillId="0" borderId="0" xfId="0" applyNumberFormat="1" applyFont="1"/>
    <xf numFmtId="164" fontId="19" fillId="0" borderId="0" xfId="2" applyNumberFormat="1" applyFont="1"/>
    <xf numFmtId="0" fontId="18" fillId="0" borderId="0" xfId="2" applyNumberFormat="1" applyFont="1"/>
    <xf numFmtId="0" fontId="7" fillId="0" borderId="0" xfId="0" applyNumberFormat="1" applyFont="1"/>
    <xf numFmtId="164" fontId="7" fillId="0" borderId="0" xfId="0" applyNumberFormat="1" applyFont="1"/>
    <xf numFmtId="164" fontId="1" fillId="0" borderId="1" xfId="0" applyNumberFormat="1" applyFont="1" applyBorder="1"/>
    <xf numFmtId="0" fontId="17" fillId="0" borderId="0" xfId="0" applyFont="1"/>
    <xf numFmtId="0" fontId="3" fillId="0" borderId="0" xfId="0" applyFont="1"/>
    <xf numFmtId="164" fontId="17" fillId="0" borderId="0" xfId="0" applyNumberFormat="1" applyFont="1"/>
    <xf numFmtId="0" fontId="3" fillId="0" borderId="0" xfId="0" applyNumberFormat="1" applyFont="1"/>
    <xf numFmtId="1" fontId="3" fillId="0" borderId="0" xfId="0" applyNumberFormat="1" applyFont="1"/>
    <xf numFmtId="1" fontId="3" fillId="3" borderId="0" xfId="0" applyNumberFormat="1" applyFont="1" applyFill="1"/>
    <xf numFmtId="0" fontId="3" fillId="3" borderId="0" xfId="0" applyFont="1" applyFill="1"/>
    <xf numFmtId="0" fontId="20" fillId="0" borderId="0" xfId="0" applyFont="1"/>
    <xf numFmtId="0" fontId="21" fillId="0" borderId="0" xfId="0" applyFont="1"/>
    <xf numFmtId="164" fontId="20" fillId="0" borderId="0" xfId="0" applyNumberFormat="1" applyFont="1"/>
    <xf numFmtId="164" fontId="3" fillId="0" borderId="0" xfId="0" applyNumberFormat="1" applyFont="1"/>
    <xf numFmtId="164" fontId="3" fillId="0" borderId="0" xfId="2" applyNumberFormat="1" applyFont="1"/>
    <xf numFmtId="164" fontId="17" fillId="0" borderId="1" xfId="0" applyNumberFormat="1" applyFont="1" applyBorder="1"/>
    <xf numFmtId="9" fontId="17" fillId="0" borderId="0" xfId="2" applyFont="1"/>
    <xf numFmtId="1" fontId="17" fillId="0" borderId="0" xfId="0" applyNumberFormat="1" applyFont="1"/>
    <xf numFmtId="9" fontId="3" fillId="3" borderId="0" xfId="2" applyFont="1" applyFill="1"/>
    <xf numFmtId="164" fontId="3" fillId="3" borderId="0" xfId="2" applyNumberFormat="1" applyFont="1" applyFill="1"/>
    <xf numFmtId="164" fontId="3" fillId="3" borderId="0" xfId="0" applyNumberFormat="1" applyFont="1" applyFill="1"/>
    <xf numFmtId="166" fontId="3" fillId="0" borderId="1" xfId="1" applyNumberFormat="1" applyFont="1" applyBorder="1"/>
    <xf numFmtId="9" fontId="17" fillId="0" borderId="1" xfId="2" applyFont="1" applyBorder="1"/>
    <xf numFmtId="1" fontId="3" fillId="0" borderId="1" xfId="0" applyNumberFormat="1" applyFont="1" applyBorder="1"/>
    <xf numFmtId="166" fontId="17" fillId="0" borderId="1" xfId="2" applyNumberFormat="1" applyFont="1" applyBorder="1"/>
    <xf numFmtId="9" fontId="3" fillId="0" borderId="1" xfId="2" applyFont="1" applyBorder="1"/>
    <xf numFmtId="164" fontId="3" fillId="0" borderId="1" xfId="2" applyNumberFormat="1" applyFont="1" applyBorder="1"/>
    <xf numFmtId="164" fontId="17" fillId="0" borderId="1" xfId="2" applyNumberFormat="1" applyFont="1" applyBorder="1"/>
    <xf numFmtId="164" fontId="3" fillId="3" borderId="1" xfId="2" applyNumberFormat="1" applyFont="1" applyFill="1" applyBorder="1"/>
    <xf numFmtId="164" fontId="3" fillId="3" borderId="1" xfId="0" applyNumberFormat="1" applyFont="1" applyFill="1" applyBorder="1"/>
    <xf numFmtId="0" fontId="3" fillId="0" borderId="1" xfId="2" applyNumberFormat="1" applyFont="1" applyBorder="1"/>
    <xf numFmtId="0" fontId="3" fillId="0" borderId="1" xfId="0" applyFont="1" applyBorder="1"/>
    <xf numFmtId="0" fontId="17" fillId="5" borderId="1" xfId="0" applyFont="1" applyFill="1" applyBorder="1"/>
    <xf numFmtId="0" fontId="17" fillId="3" borderId="1" xfId="0" applyFont="1" applyFill="1" applyBorder="1"/>
    <xf numFmtId="9" fontId="17" fillId="5" borderId="1" xfId="2" applyFont="1" applyFill="1" applyBorder="1"/>
    <xf numFmtId="9" fontId="22" fillId="8" borderId="1" xfId="2" applyFont="1" applyFill="1" applyBorder="1"/>
    <xf numFmtId="0" fontId="2" fillId="8" borderId="1" xfId="0" applyNumberFormat="1" applyFont="1" applyFill="1" applyBorder="1" applyAlignment="1">
      <alignment horizontal="left"/>
    </xf>
    <xf numFmtId="164" fontId="22" fillId="8" borderId="1" xfId="0" applyNumberFormat="1" applyFont="1" applyFill="1" applyBorder="1"/>
    <xf numFmtId="9" fontId="22" fillId="9" borderId="1" xfId="2" applyFont="1" applyFill="1" applyBorder="1"/>
    <xf numFmtId="0" fontId="2" fillId="9" borderId="1" xfId="0" applyFont="1" applyFill="1" applyBorder="1" applyAlignment="1">
      <alignment horizontal="left"/>
    </xf>
    <xf numFmtId="0" fontId="22" fillId="9" borderId="1" xfId="0" applyFont="1" applyFill="1" applyBorder="1"/>
    <xf numFmtId="0" fontId="25" fillId="11" borderId="1" xfId="0" applyFont="1" applyFill="1" applyBorder="1"/>
    <xf numFmtId="0" fontId="24" fillId="12" borderId="1" xfId="0" applyFont="1" applyFill="1" applyBorder="1"/>
    <xf numFmtId="2" fontId="24" fillId="0" borderId="1" xfId="0" applyNumberFormat="1" applyFont="1" applyBorder="1"/>
    <xf numFmtId="2" fontId="24" fillId="2" borderId="1" xfId="0" applyNumberFormat="1" applyFont="1" applyFill="1" applyBorder="1"/>
    <xf numFmtId="0" fontId="24" fillId="10" borderId="0" xfId="0" applyFont="1" applyFill="1"/>
    <xf numFmtId="0" fontId="23" fillId="10" borderId="0" xfId="0" applyFont="1" applyFill="1"/>
    <xf numFmtId="2" fontId="24" fillId="13" borderId="1" xfId="0" applyNumberFormat="1" applyFont="1" applyFill="1" applyBorder="1"/>
    <xf numFmtId="2" fontId="24" fillId="4" borderId="1" xfId="0" applyNumberFormat="1" applyFont="1" applyFill="1" applyBorder="1"/>
    <xf numFmtId="2" fontId="24" fillId="5" borderId="1" xfId="0" applyNumberFormat="1" applyFont="1" applyFill="1" applyBorder="1"/>
    <xf numFmtId="0" fontId="0" fillId="14" borderId="0" xfId="0" applyFill="1"/>
    <xf numFmtId="0" fontId="6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center"/>
    </xf>
    <xf numFmtId="0" fontId="3" fillId="0" borderId="1" xfId="0" applyNumberFormat="1" applyFont="1" applyFill="1" applyBorder="1"/>
    <xf numFmtId="17" fontId="3" fillId="0" borderId="1" xfId="0" applyNumberFormat="1" applyFont="1" applyFill="1" applyBorder="1"/>
    <xf numFmtId="0" fontId="26" fillId="0" borderId="1" xfId="0" applyFont="1" applyFill="1" applyBorder="1"/>
    <xf numFmtId="0" fontId="27" fillId="0" borderId="1" xfId="0" applyFont="1" applyFill="1" applyBorder="1" applyAlignment="1">
      <alignment horizontal="center"/>
    </xf>
    <xf numFmtId="0" fontId="27" fillId="0" borderId="1" xfId="0" applyNumberFormat="1" applyFont="1" applyFill="1" applyBorder="1" applyAlignment="1">
      <alignment horizontal="center"/>
    </xf>
    <xf numFmtId="164" fontId="27" fillId="0" borderId="1" xfId="0" applyNumberFormat="1" applyFont="1" applyFill="1" applyBorder="1" applyAlignment="1">
      <alignment horizontal="center"/>
    </xf>
    <xf numFmtId="0" fontId="22" fillId="5" borderId="0" xfId="0" applyFont="1" applyFill="1" applyAlignment="1">
      <alignment horizontal="left"/>
    </xf>
    <xf numFmtId="164" fontId="17" fillId="5" borderId="1" xfId="0" applyNumberFormat="1" applyFont="1" applyFill="1" applyBorder="1"/>
    <xf numFmtId="166" fontId="3" fillId="0" borderId="0" xfId="0" applyNumberFormat="1" applyFont="1"/>
    <xf numFmtId="0" fontId="3" fillId="0" borderId="1" xfId="0" applyNumberFormat="1" applyFont="1" applyBorder="1"/>
    <xf numFmtId="0" fontId="3" fillId="6" borderId="0" xfId="0" applyNumberFormat="1" applyFont="1" applyFill="1"/>
    <xf numFmtId="164" fontId="3" fillId="6" borderId="0" xfId="0" applyNumberFormat="1" applyFont="1" applyFill="1"/>
    <xf numFmtId="0" fontId="22" fillId="3" borderId="1" xfId="0" applyFont="1" applyFill="1" applyBorder="1" applyAlignment="1">
      <alignment horizontal="left"/>
    </xf>
    <xf numFmtId="2" fontId="3" fillId="0" borderId="1" xfId="0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113">
    <dxf>
      <numFmt numFmtId="164" formatCode="&quot;₦&quot;#,##0"/>
    </dxf>
    <dxf>
      <numFmt numFmtId="164" formatCode="&quot;₦&quot;#,##0"/>
    </dxf>
    <dxf>
      <numFmt numFmtId="164" formatCode="&quot;₦&quot;#,##0"/>
    </dxf>
    <dxf>
      <numFmt numFmtId="164" formatCode="&quot;₦&quot;#,##0"/>
    </dxf>
    <dxf>
      <numFmt numFmtId="164" formatCode="&quot;₦&quot;#,##0"/>
    </dxf>
    <dxf>
      <numFmt numFmtId="164" formatCode="&quot;₦&quot;#,##0"/>
    </dxf>
    <dxf>
      <numFmt numFmtId="164" formatCode="&quot;₦&quot;#,##0"/>
    </dxf>
    <dxf>
      <numFmt numFmtId="164" formatCode="&quot;₦&quot;#,##0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4" formatCode="&quot;₦&quot;#,##0"/>
    </dxf>
    <dxf>
      <numFmt numFmtId="164" formatCode="&quot;₦&quot;#,##0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4" formatCode="&quot;₦&quot;#,##0"/>
    </dxf>
    <dxf>
      <numFmt numFmtId="164" formatCode="&quot;₦&quot;#,##0"/>
    </dxf>
    <dxf>
      <font>
        <color rgb="FFFF0000"/>
      </font>
    </dxf>
    <dxf>
      <numFmt numFmtId="164" formatCode="&quot;₦&quot;#,##0"/>
    </dxf>
    <dxf>
      <numFmt numFmtId="164" formatCode="&quot;₦&quot;#,##0"/>
    </dxf>
    <dxf>
      <numFmt numFmtId="164" formatCode="&quot;₦&quot;#,##0"/>
    </dxf>
    <dxf>
      <numFmt numFmtId="164" formatCode="&quot;₦&quot;#,##0"/>
    </dxf>
    <dxf>
      <numFmt numFmtId="164" formatCode="&quot;₦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₦&quot;#,##0"/>
    </dxf>
    <dxf>
      <numFmt numFmtId="164" formatCode="&quot;₦&quot;#,##0"/>
    </dxf>
    <dxf>
      <numFmt numFmtId="164" formatCode="&quot;₦&quot;#,##0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4" formatCode="&quot;₦&quot;#,##0"/>
    </dxf>
    <dxf>
      <numFmt numFmtId="164" formatCode="&quot;₦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₦&quot;#,##0"/>
    </dxf>
    <dxf>
      <numFmt numFmtId="164" formatCode="&quot;₦&quot;#,##0"/>
    </dxf>
    <dxf>
      <numFmt numFmtId="164" formatCode="&quot;₦&quot;#,##0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" formatCode="0"/>
    </dxf>
    <dxf>
      <numFmt numFmtId="1" formatCode="0"/>
    </dxf>
    <dxf>
      <numFmt numFmtId="166" formatCode="_-* #,##0_-;\-* #,##0_-;_-* &quot;-&quot;??_-;_-@_-"/>
    </dxf>
    <dxf>
      <numFmt numFmtId="166" formatCode="_-* #,##0_-;\-* #,##0_-;_-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₦&quot;#,##0"/>
    </dxf>
    <dxf>
      <numFmt numFmtId="164" formatCode="&quot;₦&quot;#,##0"/>
    </dxf>
    <dxf>
      <numFmt numFmtId="164" formatCode="&quot;₦&quot;#,##0"/>
    </dxf>
    <dxf>
      <numFmt numFmtId="164" formatCode="&quot;₦&quot;#,##0"/>
    </dxf>
    <dxf>
      <numFmt numFmtId="0" formatCode="General"/>
    </dxf>
    <dxf>
      <numFmt numFmtId="0" formatCode="General"/>
    </dxf>
    <dxf>
      <numFmt numFmtId="164" formatCode="&quot;₦&quot;#,##0"/>
    </dxf>
    <dxf>
      <numFmt numFmtId="164" formatCode="&quot;₦&quot;#,##0"/>
    </dxf>
    <dxf>
      <numFmt numFmtId="0" formatCode="General"/>
    </dxf>
    <dxf>
      <numFmt numFmtId="0" formatCode="General"/>
    </dxf>
    <dxf>
      <numFmt numFmtId="164" formatCode="&quot;₦&quot;#,##0"/>
    </dxf>
    <dxf>
      <numFmt numFmtId="164" formatCode="&quot;₦&quot;#,##0"/>
    </dxf>
    <dxf>
      <numFmt numFmtId="164" formatCode="&quot;₦&quot;#,##0"/>
    </dxf>
    <dxf>
      <numFmt numFmtId="164" formatCode="&quot;₦&quot;#,##0"/>
    </dxf>
    <dxf>
      <numFmt numFmtId="164" formatCode="&quot;₦&quot;#,##0"/>
    </dxf>
    <dxf>
      <numFmt numFmtId="164" formatCode="&quot;₦&quot;#,##0"/>
    </dxf>
    <dxf>
      <numFmt numFmtId="164" formatCode="&quot;₦&quot;#,##0"/>
    </dxf>
    <dxf>
      <numFmt numFmtId="164" formatCode="&quot;₦&quot;#,##0"/>
    </dxf>
    <dxf>
      <numFmt numFmtId="164" formatCode="&quot;₦&quot;#,##0"/>
    </dxf>
    <dxf>
      <numFmt numFmtId="164" formatCode="&quot;₦&quot;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₦&quot;#,##0"/>
    </dxf>
    <dxf>
      <numFmt numFmtId="164" formatCode="&quot;₦&quot;#,##0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4" formatCode="&quot;₦&quot;#,##0"/>
    </dxf>
    <dxf>
      <numFmt numFmtId="164" formatCode="&quot;₦&quot;#,##0"/>
    </dxf>
    <dxf>
      <numFmt numFmtId="164" formatCode="&quot;₦&quot;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AU" sz="1600" b="1" i="0" u="none" strike="noStrike" baseline="0">
                <a:effectLst/>
              </a:rPr>
              <a:t>Product Contribution to Sales and Profit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CHARTS!$B$9</c:f>
              <c:strCache>
                <c:ptCount val="1"/>
                <c:pt idx="0">
                  <c:v>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CHARTS!$A$10:$A$12</c:f>
              <c:strCache>
                <c:ptCount val="3"/>
                <c:pt idx="0">
                  <c:v>6 Inches</c:v>
                </c:pt>
                <c:pt idx="1">
                  <c:v>7 Inches</c:v>
                </c:pt>
                <c:pt idx="2">
                  <c:v>9 Inches</c:v>
                </c:pt>
              </c:strCache>
            </c:strRef>
          </c:cat>
          <c:val>
            <c:numRef>
              <c:f>CHARTS!$B$10:$B$12</c:f>
              <c:numCache>
                <c:formatCode>"₦"#,##0</c:formatCode>
                <c:ptCount val="3"/>
                <c:pt idx="0">
                  <c:v>8289700</c:v>
                </c:pt>
                <c:pt idx="1">
                  <c:v>2090500</c:v>
                </c:pt>
                <c:pt idx="2">
                  <c:v>8253340</c:v>
                </c:pt>
              </c:numCache>
            </c:numRef>
          </c:val>
        </c:ser>
        <c:ser>
          <c:idx val="1"/>
          <c:order val="1"/>
          <c:tx>
            <c:strRef>
              <c:f>CHARTS!$C$9</c:f>
              <c:strCache>
                <c:ptCount val="1"/>
                <c:pt idx="0">
                  <c:v>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CHARTS!$A$10:$A$12</c:f>
              <c:strCache>
                <c:ptCount val="3"/>
                <c:pt idx="0">
                  <c:v>6 Inches</c:v>
                </c:pt>
                <c:pt idx="1">
                  <c:v>7 Inches</c:v>
                </c:pt>
                <c:pt idx="2">
                  <c:v>9 Inches</c:v>
                </c:pt>
              </c:strCache>
            </c:strRef>
          </c:cat>
          <c:val>
            <c:numRef>
              <c:f>CHARTS!$C$10:$C$12</c:f>
              <c:numCache>
                <c:formatCode>"₦"#,##0</c:formatCode>
                <c:ptCount val="3"/>
                <c:pt idx="0">
                  <c:v>1357268.4959816881</c:v>
                </c:pt>
                <c:pt idx="1">
                  <c:v>495935.65847824822</c:v>
                </c:pt>
                <c:pt idx="2">
                  <c:v>1325360.8455400637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-482982976"/>
        <c:axId val="-482985696"/>
      </c:barChart>
      <c:catAx>
        <c:axId val="-48298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82985696"/>
        <c:crosses val="autoZero"/>
        <c:auto val="1"/>
        <c:lblAlgn val="ctr"/>
        <c:lblOffset val="100"/>
        <c:noMultiLvlLbl val="0"/>
      </c:catAx>
      <c:valAx>
        <c:axId val="-48298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₦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82982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[Block Production &amp; Sales Performance Analysis.xlsx]CHARTS!PivotTable6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AU" sz="1600" b="1" i="0" u="none" strike="noStrike" baseline="0">
                <a:effectLst/>
              </a:rPr>
              <a:t>Revenue Trend Over Time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layout>
            <c:manualLayout>
              <c:x val="-8.3119392684610077E-2"/>
              <c:y val="-2.77777777777777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layout>
            <c:manualLayout>
              <c:x val="-8.8640441683919977E-2"/>
              <c:y val="-4.16666666666666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layout>
            <c:manualLayout>
              <c:x val="-7.7598343685300303E-2"/>
              <c:y val="-3.703703703703712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layout>
            <c:manualLayout>
              <c:x val="-8.0358868184955148E-2"/>
              <c:y val="3.24074074074074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CHARTS!$B$18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Pt>
            <c:idx val="0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hade val="51000"/>
                        <a:satMod val="130000"/>
                      </a:schemeClr>
                    </a:gs>
                    <a:gs pos="80000">
                      <a:schemeClr val="accent1">
                        <a:shade val="93000"/>
                        <a:satMod val="130000"/>
                      </a:schemeClr>
                    </a:gs>
                    <a:gs pos="100000">
                      <a:schemeClr val="accent1"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threePt" dir="t">
                    <a:rot lat="0" lon="0" rev="1200000"/>
                  </a:lightRig>
                </a:scene3d>
                <a:sp3d>
                  <a:bevelT w="63500" h="25400"/>
                </a:sp3d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1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hade val="51000"/>
                        <a:satMod val="130000"/>
                      </a:schemeClr>
                    </a:gs>
                    <a:gs pos="80000">
                      <a:schemeClr val="accent1">
                        <a:shade val="93000"/>
                        <a:satMod val="130000"/>
                      </a:schemeClr>
                    </a:gs>
                    <a:gs pos="100000">
                      <a:schemeClr val="accent1"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threePt" dir="t">
                    <a:rot lat="0" lon="0" rev="1200000"/>
                  </a:lightRig>
                </a:scene3d>
                <a:sp3d>
                  <a:bevelT w="63500" h="25400"/>
                </a:sp3d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2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hade val="51000"/>
                        <a:satMod val="130000"/>
                      </a:schemeClr>
                    </a:gs>
                    <a:gs pos="80000">
                      <a:schemeClr val="accent1">
                        <a:shade val="93000"/>
                        <a:satMod val="130000"/>
                      </a:schemeClr>
                    </a:gs>
                    <a:gs pos="100000">
                      <a:schemeClr val="accent1"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threePt" dir="t">
                    <a:rot lat="0" lon="0" rev="1200000"/>
                  </a:lightRig>
                </a:scene3d>
                <a:sp3d>
                  <a:bevelT w="63500" h="25400"/>
                </a:sp3d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3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hade val="51000"/>
                        <a:satMod val="130000"/>
                      </a:schemeClr>
                    </a:gs>
                    <a:gs pos="80000">
                      <a:schemeClr val="accent1">
                        <a:shade val="93000"/>
                        <a:satMod val="130000"/>
                      </a:schemeClr>
                    </a:gs>
                    <a:gs pos="100000">
                      <a:schemeClr val="accent1"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threePt" dir="t">
                    <a:rot lat="0" lon="0" rev="1200000"/>
                  </a:lightRig>
                </a:scene3d>
                <a:sp3d>
                  <a:bevelT w="63500" h="25400"/>
                </a:sp3d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Lbls>
            <c:dLbl>
              <c:idx val="0"/>
              <c:layout>
                <c:manualLayout>
                  <c:x val="-8.8640441683919977E-2"/>
                  <c:y val="-4.16666666666666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8.3119392684610077E-2"/>
                  <c:y val="-2.77777777777777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8.0358868184955148E-2"/>
                  <c:y val="3.24074074074074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7.7598343685300303E-2"/>
                  <c:y val="-3.70370370370371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CHARTS!$A$19:$A$23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CHARTS!$B$19:$B$23</c:f>
              <c:numCache>
                <c:formatCode>"₦"#,##0</c:formatCode>
                <c:ptCount val="4"/>
                <c:pt idx="0">
                  <c:v>6068380</c:v>
                </c:pt>
                <c:pt idx="1">
                  <c:v>6556450</c:v>
                </c:pt>
                <c:pt idx="2">
                  <c:v>1790610</c:v>
                </c:pt>
                <c:pt idx="3">
                  <c:v>4218100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-482981888"/>
        <c:axId val="-482982432"/>
      </c:lineChart>
      <c:catAx>
        <c:axId val="-482981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YeAR</a:t>
                </a:r>
              </a:p>
            </c:rich>
          </c:tx>
          <c:layout>
            <c:manualLayout>
              <c:xMode val="edge"/>
              <c:yMode val="edge"/>
              <c:x val="0.41779690582155482"/>
              <c:y val="0.87146033829104697"/>
            </c:manualLayout>
          </c:layout>
          <c:overlay val="0"/>
          <c:spPr>
            <a:solidFill>
              <a:srgbClr val="0070C0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82982432"/>
        <c:crosses val="autoZero"/>
        <c:auto val="1"/>
        <c:lblAlgn val="ctr"/>
        <c:lblOffset val="100"/>
        <c:noMultiLvlLbl val="0"/>
      </c:catAx>
      <c:valAx>
        <c:axId val="-48298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TOTAL REVENUE</a:t>
                </a:r>
              </a:p>
            </c:rich>
          </c:tx>
          <c:layout>
            <c:manualLayout>
              <c:xMode val="edge"/>
              <c:yMode val="edge"/>
              <c:x val="1.1042097998619738E-2"/>
              <c:y val="0.27476086322543014"/>
            </c:manualLayout>
          </c:layout>
          <c:overlay val="0"/>
          <c:spPr>
            <a:solidFill>
              <a:srgbClr val="0070C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₦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82981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AU" sz="1600" b="1" i="0" u="none" strike="noStrike" baseline="0">
                <a:effectLst/>
              </a:rPr>
              <a:t>Impact of Production Cost on Profitability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CHARTS!$B$34</c:f>
              <c:strCache>
                <c:ptCount val="1"/>
                <c:pt idx="0">
                  <c:v>Total Profit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numRef>
              <c:f>CHARTS!$A$35:$A$83</c:f>
              <c:numCache>
                <c:formatCode>"₦"#,##0</c:formatCode>
                <c:ptCount val="49"/>
                <c:pt idx="0">
                  <c:v>276125</c:v>
                </c:pt>
                <c:pt idx="1">
                  <c:v>63700</c:v>
                </c:pt>
                <c:pt idx="2">
                  <c:v>472150</c:v>
                </c:pt>
                <c:pt idx="3">
                  <c:v>255900</c:v>
                </c:pt>
                <c:pt idx="4">
                  <c:v>340400</c:v>
                </c:pt>
                <c:pt idx="5">
                  <c:v>115800</c:v>
                </c:pt>
                <c:pt idx="6">
                  <c:v>261800</c:v>
                </c:pt>
                <c:pt idx="7">
                  <c:v>142700</c:v>
                </c:pt>
                <c:pt idx="8">
                  <c:v>1295200</c:v>
                </c:pt>
                <c:pt idx="9">
                  <c:v>444350</c:v>
                </c:pt>
                <c:pt idx="10">
                  <c:v>1017500</c:v>
                </c:pt>
                <c:pt idx="11">
                  <c:v>172000</c:v>
                </c:pt>
                <c:pt idx="12">
                  <c:v>511300</c:v>
                </c:pt>
                <c:pt idx="13">
                  <c:v>258900</c:v>
                </c:pt>
                <c:pt idx="15">
                  <c:v>568960</c:v>
                </c:pt>
                <c:pt idx="16">
                  <c:v>877290</c:v>
                </c:pt>
                <c:pt idx="17">
                  <c:v>179420</c:v>
                </c:pt>
                <c:pt idx="18">
                  <c:v>442200</c:v>
                </c:pt>
                <c:pt idx="19">
                  <c:v>360670</c:v>
                </c:pt>
                <c:pt idx="20">
                  <c:v>275580</c:v>
                </c:pt>
                <c:pt idx="21">
                  <c:v>690830</c:v>
                </c:pt>
                <c:pt idx="22">
                  <c:v>971030</c:v>
                </c:pt>
                <c:pt idx="23">
                  <c:v>295620</c:v>
                </c:pt>
                <c:pt idx="24">
                  <c:v>646250</c:v>
                </c:pt>
                <c:pt idx="25">
                  <c:v>105400</c:v>
                </c:pt>
                <c:pt idx="26">
                  <c:v>935200</c:v>
                </c:pt>
                <c:pt idx="27">
                  <c:v>109290</c:v>
                </c:pt>
                <c:pt idx="28">
                  <c:v>12110</c:v>
                </c:pt>
                <c:pt idx="41">
                  <c:v>814450</c:v>
                </c:pt>
                <c:pt idx="42">
                  <c:v>69375</c:v>
                </c:pt>
                <c:pt idx="43">
                  <c:v>741250</c:v>
                </c:pt>
                <c:pt idx="44">
                  <c:v>23550</c:v>
                </c:pt>
                <c:pt idx="45">
                  <c:v>141250</c:v>
                </c:pt>
                <c:pt idx="46">
                  <c:v>273450</c:v>
                </c:pt>
                <c:pt idx="47">
                  <c:v>1235025</c:v>
                </c:pt>
                <c:pt idx="48">
                  <c:v>58950</c:v>
                </c:pt>
              </c:numCache>
            </c:numRef>
          </c:xVal>
          <c:yVal>
            <c:numRef>
              <c:f>CHARTS!$B$35:$B$83</c:f>
              <c:numCache>
                <c:formatCode>"₦"#,##0</c:formatCode>
                <c:ptCount val="49"/>
                <c:pt idx="0">
                  <c:v>-276125</c:v>
                </c:pt>
                <c:pt idx="1">
                  <c:v>276550</c:v>
                </c:pt>
                <c:pt idx="2">
                  <c:v>-124200</c:v>
                </c:pt>
                <c:pt idx="3">
                  <c:v>1700</c:v>
                </c:pt>
                <c:pt idx="4">
                  <c:v>181400</c:v>
                </c:pt>
                <c:pt idx="5">
                  <c:v>-1100</c:v>
                </c:pt>
                <c:pt idx="6">
                  <c:v>-39000</c:v>
                </c:pt>
                <c:pt idx="7">
                  <c:v>47300</c:v>
                </c:pt>
                <c:pt idx="8">
                  <c:v>298800</c:v>
                </c:pt>
                <c:pt idx="9">
                  <c:v>-146370</c:v>
                </c:pt>
                <c:pt idx="10">
                  <c:v>158800</c:v>
                </c:pt>
                <c:pt idx="11">
                  <c:v>253000</c:v>
                </c:pt>
                <c:pt idx="12">
                  <c:v>68700</c:v>
                </c:pt>
                <c:pt idx="13">
                  <c:v>92420</c:v>
                </c:pt>
                <c:pt idx="15">
                  <c:v>75140</c:v>
                </c:pt>
                <c:pt idx="16">
                  <c:v>138650</c:v>
                </c:pt>
                <c:pt idx="17">
                  <c:v>404780</c:v>
                </c:pt>
                <c:pt idx="18">
                  <c:v>-99000</c:v>
                </c:pt>
                <c:pt idx="19">
                  <c:v>-179170</c:v>
                </c:pt>
                <c:pt idx="20">
                  <c:v>-93380</c:v>
                </c:pt>
                <c:pt idx="21">
                  <c:v>150370</c:v>
                </c:pt>
                <c:pt idx="22">
                  <c:v>284410</c:v>
                </c:pt>
                <c:pt idx="23">
                  <c:v>151280</c:v>
                </c:pt>
                <c:pt idx="24">
                  <c:v>64200</c:v>
                </c:pt>
                <c:pt idx="25">
                  <c:v>188600</c:v>
                </c:pt>
                <c:pt idx="26">
                  <c:v>184800</c:v>
                </c:pt>
                <c:pt idx="27">
                  <c:v>127060</c:v>
                </c:pt>
                <c:pt idx="28">
                  <c:v>116950</c:v>
                </c:pt>
                <c:pt idx="30">
                  <c:v>11200</c:v>
                </c:pt>
                <c:pt idx="41">
                  <c:v>-814450</c:v>
                </c:pt>
                <c:pt idx="42">
                  <c:v>690625</c:v>
                </c:pt>
                <c:pt idx="43">
                  <c:v>21250</c:v>
                </c:pt>
                <c:pt idx="44">
                  <c:v>266750</c:v>
                </c:pt>
                <c:pt idx="45">
                  <c:v>295250</c:v>
                </c:pt>
                <c:pt idx="46">
                  <c:v>86250</c:v>
                </c:pt>
                <c:pt idx="47">
                  <c:v>-349525</c:v>
                </c:pt>
                <c:pt idx="48">
                  <c:v>664650</c:v>
                </c:pt>
              </c:numCache>
            </c:numRef>
          </c:yVal>
          <c:smooth val="0"/>
        </c:ser>
        <c:ser>
          <c:idx val="0"/>
          <c:order val="1"/>
          <c:tx>
            <c:strRef>
              <c:f>'[1]CHART 2'!$B$1</c:f>
              <c:strCache>
                <c:ptCount val="1"/>
                <c:pt idx="0">
                  <c:v>Total Profit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954615048118985"/>
                  <c:y val="0.276107101195683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'[1]CHART 2'!$A$2:$A$50</c:f>
              <c:numCache>
                <c:formatCode>General</c:formatCode>
                <c:ptCount val="49"/>
                <c:pt idx="0">
                  <c:v>276125</c:v>
                </c:pt>
                <c:pt idx="1">
                  <c:v>63700</c:v>
                </c:pt>
                <c:pt idx="2">
                  <c:v>472150</c:v>
                </c:pt>
                <c:pt idx="3">
                  <c:v>255900</c:v>
                </c:pt>
                <c:pt idx="4">
                  <c:v>340400</c:v>
                </c:pt>
                <c:pt idx="5">
                  <c:v>115800</c:v>
                </c:pt>
                <c:pt idx="6">
                  <c:v>261800</c:v>
                </c:pt>
                <c:pt idx="7">
                  <c:v>142700</c:v>
                </c:pt>
                <c:pt idx="8">
                  <c:v>1295200</c:v>
                </c:pt>
                <c:pt idx="9">
                  <c:v>444350</c:v>
                </c:pt>
                <c:pt idx="10">
                  <c:v>1017500</c:v>
                </c:pt>
                <c:pt idx="11">
                  <c:v>172000</c:v>
                </c:pt>
                <c:pt idx="12">
                  <c:v>511300</c:v>
                </c:pt>
                <c:pt idx="13">
                  <c:v>258900</c:v>
                </c:pt>
                <c:pt idx="15">
                  <c:v>568960</c:v>
                </c:pt>
                <c:pt idx="16">
                  <c:v>877290</c:v>
                </c:pt>
                <c:pt idx="17">
                  <c:v>179420</c:v>
                </c:pt>
                <c:pt idx="18">
                  <c:v>442200</c:v>
                </c:pt>
                <c:pt idx="19">
                  <c:v>360670</c:v>
                </c:pt>
                <c:pt idx="20">
                  <c:v>275580</c:v>
                </c:pt>
                <c:pt idx="21">
                  <c:v>690830</c:v>
                </c:pt>
                <c:pt idx="22">
                  <c:v>971030</c:v>
                </c:pt>
                <c:pt idx="23">
                  <c:v>295620</c:v>
                </c:pt>
                <c:pt idx="24">
                  <c:v>646250</c:v>
                </c:pt>
                <c:pt idx="25">
                  <c:v>105400</c:v>
                </c:pt>
                <c:pt idx="26">
                  <c:v>935200</c:v>
                </c:pt>
                <c:pt idx="27">
                  <c:v>109290</c:v>
                </c:pt>
                <c:pt idx="28">
                  <c:v>12110</c:v>
                </c:pt>
                <c:pt idx="41">
                  <c:v>814450</c:v>
                </c:pt>
                <c:pt idx="42">
                  <c:v>69375</c:v>
                </c:pt>
                <c:pt idx="43">
                  <c:v>741250</c:v>
                </c:pt>
                <c:pt idx="44">
                  <c:v>23550</c:v>
                </c:pt>
                <c:pt idx="45">
                  <c:v>141250</c:v>
                </c:pt>
                <c:pt idx="46">
                  <c:v>273450</c:v>
                </c:pt>
                <c:pt idx="47">
                  <c:v>1235025</c:v>
                </c:pt>
                <c:pt idx="48">
                  <c:v>58950</c:v>
                </c:pt>
              </c:numCache>
            </c:numRef>
          </c:xVal>
          <c:yVal>
            <c:numRef>
              <c:f>'[1]CHART 2'!$B$2:$B$50</c:f>
              <c:numCache>
                <c:formatCode>General</c:formatCode>
                <c:ptCount val="49"/>
                <c:pt idx="0">
                  <c:v>-276125</c:v>
                </c:pt>
                <c:pt idx="1">
                  <c:v>276550</c:v>
                </c:pt>
                <c:pt idx="2">
                  <c:v>-124200</c:v>
                </c:pt>
                <c:pt idx="3">
                  <c:v>1700</c:v>
                </c:pt>
                <c:pt idx="4">
                  <c:v>181400</c:v>
                </c:pt>
                <c:pt idx="5">
                  <c:v>-1100</c:v>
                </c:pt>
                <c:pt idx="6">
                  <c:v>-39000</c:v>
                </c:pt>
                <c:pt idx="7">
                  <c:v>47300</c:v>
                </c:pt>
                <c:pt idx="8">
                  <c:v>298800</c:v>
                </c:pt>
                <c:pt idx="9">
                  <c:v>-146370</c:v>
                </c:pt>
                <c:pt idx="10">
                  <c:v>158800</c:v>
                </c:pt>
                <c:pt idx="11">
                  <c:v>253000</c:v>
                </c:pt>
                <c:pt idx="12">
                  <c:v>68700</c:v>
                </c:pt>
                <c:pt idx="13">
                  <c:v>92420</c:v>
                </c:pt>
                <c:pt idx="15">
                  <c:v>75140</c:v>
                </c:pt>
                <c:pt idx="16">
                  <c:v>138650</c:v>
                </c:pt>
                <c:pt idx="17">
                  <c:v>404780</c:v>
                </c:pt>
                <c:pt idx="18">
                  <c:v>-99000</c:v>
                </c:pt>
                <c:pt idx="19">
                  <c:v>-179170</c:v>
                </c:pt>
                <c:pt idx="20">
                  <c:v>-93380</c:v>
                </c:pt>
                <c:pt idx="21">
                  <c:v>150370</c:v>
                </c:pt>
                <c:pt idx="22">
                  <c:v>284410</c:v>
                </c:pt>
                <c:pt idx="23">
                  <c:v>151280</c:v>
                </c:pt>
                <c:pt idx="24">
                  <c:v>64200</c:v>
                </c:pt>
                <c:pt idx="25">
                  <c:v>188600</c:v>
                </c:pt>
                <c:pt idx="26">
                  <c:v>184800</c:v>
                </c:pt>
                <c:pt idx="27">
                  <c:v>127060</c:v>
                </c:pt>
                <c:pt idx="28">
                  <c:v>116950</c:v>
                </c:pt>
                <c:pt idx="30">
                  <c:v>11200</c:v>
                </c:pt>
                <c:pt idx="41">
                  <c:v>-814450</c:v>
                </c:pt>
                <c:pt idx="42">
                  <c:v>690625</c:v>
                </c:pt>
                <c:pt idx="43">
                  <c:v>21250</c:v>
                </c:pt>
                <c:pt idx="44">
                  <c:v>266750</c:v>
                </c:pt>
                <c:pt idx="45">
                  <c:v>295250</c:v>
                </c:pt>
                <c:pt idx="46">
                  <c:v>86250</c:v>
                </c:pt>
                <c:pt idx="47">
                  <c:v>-349525</c:v>
                </c:pt>
                <c:pt idx="48">
                  <c:v>664650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482972640"/>
        <c:axId val="-482984064"/>
      </c:scatterChart>
      <c:valAx>
        <c:axId val="-482972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900" b="1" i="0" u="none" strike="noStrike" cap="all" baseline="0">
                    <a:solidFill>
                      <a:schemeClr val="lt1"/>
                    </a:solidFill>
                    <a:effectLst/>
                    <a:latin typeface="+mn-lt"/>
                    <a:ea typeface="+mn-ea"/>
                    <a:cs typeface="+mn-cs"/>
                  </a:rPr>
                  <a:t>Total Cost</a:t>
                </a:r>
                <a:r>
                  <a:rPr lang="en-AU" sz="900" b="1" i="0" u="none" strike="noStrike" cap="all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rPr>
                  <a:t> </a:t>
                </a:r>
                <a:endParaRPr lang="en-AU"/>
              </a:p>
            </c:rich>
          </c:tx>
          <c:layout>
            <c:manualLayout>
              <c:xMode val="edge"/>
              <c:yMode val="edge"/>
              <c:x val="0.48312379702537184"/>
              <c:y val="0.91210629921259845"/>
            </c:manualLayout>
          </c:layout>
          <c:overlay val="0"/>
          <c:spPr>
            <a:solidFill>
              <a:schemeClr val="accent1"/>
            </a:solidFill>
            <a:ln w="25400" cap="flat" cmpd="sng" algn="ctr">
              <a:solidFill>
                <a:schemeClr val="accent1">
                  <a:shade val="50000"/>
                </a:schemeClr>
              </a:solidFill>
              <a:prstDash val="solid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₦&quot;#,##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82984064"/>
        <c:crosses val="autoZero"/>
        <c:crossBetween val="midCat"/>
      </c:valAx>
      <c:valAx>
        <c:axId val="-48298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900" b="1" i="0" u="none" strike="noStrike" cap="all" baseline="0">
                    <a:solidFill>
                      <a:schemeClr val="lt1"/>
                    </a:solidFill>
                    <a:effectLst/>
                    <a:latin typeface="+mn-lt"/>
                    <a:ea typeface="+mn-ea"/>
                    <a:cs typeface="+mn-cs"/>
                  </a:rPr>
                  <a:t>Total Profit</a:t>
                </a:r>
                <a:r>
                  <a:rPr lang="en-AU" sz="900" b="1" i="0" u="none" strike="noStrike" cap="all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rPr>
                  <a:t> </a:t>
                </a:r>
                <a:endParaRPr lang="en-AU"/>
              </a:p>
            </c:rich>
          </c:tx>
          <c:layout/>
          <c:overlay val="0"/>
          <c:spPr>
            <a:solidFill>
              <a:schemeClr val="accent1"/>
            </a:solidFill>
            <a:ln w="25400" cap="flat" cmpd="sng" algn="ctr">
              <a:solidFill>
                <a:schemeClr val="accent1">
                  <a:shade val="50000"/>
                </a:schemeClr>
              </a:solidFill>
              <a:prstDash val="solid"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₦&quot;#,##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82972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AU">
                <a:solidFill>
                  <a:schemeClr val="lt1"/>
                </a:solidFill>
                <a:latin typeface="+mn-lt"/>
                <a:ea typeface="+mn-ea"/>
                <a:cs typeface="+mn-cs"/>
              </a:rPr>
              <a:t>Revenue Growth Driven by Sales Volume</a:t>
            </a:r>
            <a:endParaRPr lang="en-US"/>
          </a:p>
        </c:rich>
      </c:tx>
      <c:layout/>
      <c:overlay val="0"/>
      <c:spPr>
        <a:solidFill>
          <a:schemeClr val="accent1"/>
        </a:solidFill>
        <a:ln w="25400" cap="flat" cmpd="sng" algn="ctr">
          <a:solidFill>
            <a:schemeClr val="accent1">
              <a:shade val="50000"/>
            </a:schemeClr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CHARTS!$E$28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CHARTS!$D$35:$D$83</c:f>
              <c:numCache>
                <c:formatCode>_-* #,##0_-;\-* #,##0_-;_-* "-"??_-;_-@_-</c:formatCode>
                <c:ptCount val="49"/>
                <c:pt idx="1">
                  <c:v>1274</c:v>
                </c:pt>
                <c:pt idx="2">
                  <c:v>1283</c:v>
                </c:pt>
                <c:pt idx="3">
                  <c:v>802</c:v>
                </c:pt>
                <c:pt idx="4">
                  <c:v>1560</c:v>
                </c:pt>
                <c:pt idx="5">
                  <c:v>376</c:v>
                </c:pt>
                <c:pt idx="6">
                  <c:v>706</c:v>
                </c:pt>
                <c:pt idx="7">
                  <c:v>600</c:v>
                </c:pt>
                <c:pt idx="8">
                  <c:v>4600</c:v>
                </c:pt>
                <c:pt idx="9">
                  <c:v>954</c:v>
                </c:pt>
                <c:pt idx="10">
                  <c:v>3460</c:v>
                </c:pt>
                <c:pt idx="11">
                  <c:v>1150</c:v>
                </c:pt>
                <c:pt idx="12">
                  <c:v>1534</c:v>
                </c:pt>
                <c:pt idx="13">
                  <c:v>950</c:v>
                </c:pt>
                <c:pt idx="15">
                  <c:v>1616</c:v>
                </c:pt>
                <c:pt idx="16">
                  <c:v>3381</c:v>
                </c:pt>
                <c:pt idx="17">
                  <c:v>1642</c:v>
                </c:pt>
                <c:pt idx="18">
                  <c:v>870</c:v>
                </c:pt>
                <c:pt idx="19">
                  <c:v>470</c:v>
                </c:pt>
                <c:pt idx="20">
                  <c:v>440</c:v>
                </c:pt>
                <c:pt idx="21">
                  <c:v>1928</c:v>
                </c:pt>
                <c:pt idx="22">
                  <c:v>2838</c:v>
                </c:pt>
                <c:pt idx="23">
                  <c:v>982</c:v>
                </c:pt>
                <c:pt idx="24">
                  <c:v>1505</c:v>
                </c:pt>
                <c:pt idx="25">
                  <c:v>720</c:v>
                </c:pt>
                <c:pt idx="26">
                  <c:v>2020</c:v>
                </c:pt>
                <c:pt idx="27">
                  <c:v>347</c:v>
                </c:pt>
                <c:pt idx="28">
                  <c:v>173</c:v>
                </c:pt>
                <c:pt idx="30">
                  <c:v>16</c:v>
                </c:pt>
                <c:pt idx="42">
                  <c:v>925</c:v>
                </c:pt>
                <c:pt idx="43">
                  <c:v>850</c:v>
                </c:pt>
                <c:pt idx="44">
                  <c:v>377</c:v>
                </c:pt>
                <c:pt idx="45">
                  <c:v>550</c:v>
                </c:pt>
                <c:pt idx="46">
                  <c:v>414</c:v>
                </c:pt>
                <c:pt idx="47">
                  <c:v>1131</c:v>
                </c:pt>
                <c:pt idx="48">
                  <c:v>786</c:v>
                </c:pt>
              </c:numCache>
            </c:numRef>
          </c:xVal>
          <c:yVal>
            <c:numRef>
              <c:f>CHARTS!$E$29:$E$77</c:f>
              <c:numCache>
                <c:formatCode>"₦"#,##0</c:formatCode>
                <c:ptCount val="49"/>
                <c:pt idx="1">
                  <c:v>340250</c:v>
                </c:pt>
                <c:pt idx="2">
                  <c:v>347950</c:v>
                </c:pt>
                <c:pt idx="3">
                  <c:v>257600</c:v>
                </c:pt>
                <c:pt idx="4">
                  <c:v>521800</c:v>
                </c:pt>
                <c:pt idx="5">
                  <c:v>114700</c:v>
                </c:pt>
                <c:pt idx="6">
                  <c:v>222800</c:v>
                </c:pt>
                <c:pt idx="7">
                  <c:v>190000</c:v>
                </c:pt>
                <c:pt idx="8">
                  <c:v>1594000</c:v>
                </c:pt>
                <c:pt idx="9">
                  <c:v>297980</c:v>
                </c:pt>
                <c:pt idx="10">
                  <c:v>1176300</c:v>
                </c:pt>
                <c:pt idx="11">
                  <c:v>425000</c:v>
                </c:pt>
                <c:pt idx="12">
                  <c:v>580000</c:v>
                </c:pt>
                <c:pt idx="13">
                  <c:v>351320</c:v>
                </c:pt>
                <c:pt idx="15">
                  <c:v>644100</c:v>
                </c:pt>
                <c:pt idx="16">
                  <c:v>1015940</c:v>
                </c:pt>
                <c:pt idx="17">
                  <c:v>584200</c:v>
                </c:pt>
                <c:pt idx="18">
                  <c:v>343200</c:v>
                </c:pt>
                <c:pt idx="19">
                  <c:v>181500</c:v>
                </c:pt>
                <c:pt idx="20">
                  <c:v>182200</c:v>
                </c:pt>
                <c:pt idx="21">
                  <c:v>841200</c:v>
                </c:pt>
                <c:pt idx="22">
                  <c:v>1255440</c:v>
                </c:pt>
                <c:pt idx="23">
                  <c:v>446900</c:v>
                </c:pt>
                <c:pt idx="24">
                  <c:v>710450</c:v>
                </c:pt>
                <c:pt idx="25">
                  <c:v>294000</c:v>
                </c:pt>
                <c:pt idx="26">
                  <c:v>1120000</c:v>
                </c:pt>
                <c:pt idx="27">
                  <c:v>236350</c:v>
                </c:pt>
                <c:pt idx="28">
                  <c:v>129060</c:v>
                </c:pt>
                <c:pt idx="30">
                  <c:v>11200</c:v>
                </c:pt>
                <c:pt idx="42">
                  <c:v>760000</c:v>
                </c:pt>
                <c:pt idx="43">
                  <c:v>762500</c:v>
                </c:pt>
                <c:pt idx="44">
                  <c:v>290300</c:v>
                </c:pt>
                <c:pt idx="45">
                  <c:v>436500</c:v>
                </c:pt>
                <c:pt idx="46">
                  <c:v>359700</c:v>
                </c:pt>
                <c:pt idx="47">
                  <c:v>885500</c:v>
                </c:pt>
                <c:pt idx="48">
                  <c:v>723600</c:v>
                </c:pt>
              </c:numCache>
            </c:numRef>
          </c:yVal>
          <c:smooth val="0"/>
        </c:ser>
        <c:ser>
          <c:idx val="0"/>
          <c:order val="1"/>
          <c:tx>
            <c:strRef>
              <c:f>'[1]CHART 1'!$B$1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2676290463692038E-2"/>
                  <c:y val="0.3838425925925925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'[1]CHART 1'!$A$2:$A$50</c:f>
              <c:numCache>
                <c:formatCode>General</c:formatCode>
                <c:ptCount val="49"/>
                <c:pt idx="1">
                  <c:v>1274</c:v>
                </c:pt>
                <c:pt idx="2">
                  <c:v>1283</c:v>
                </c:pt>
                <c:pt idx="3">
                  <c:v>802</c:v>
                </c:pt>
                <c:pt idx="4">
                  <c:v>1560</c:v>
                </c:pt>
                <c:pt idx="5">
                  <c:v>376</c:v>
                </c:pt>
                <c:pt idx="6">
                  <c:v>706</c:v>
                </c:pt>
                <c:pt idx="7">
                  <c:v>600</c:v>
                </c:pt>
                <c:pt idx="8">
                  <c:v>4600</c:v>
                </c:pt>
                <c:pt idx="9">
                  <c:v>954</c:v>
                </c:pt>
                <c:pt idx="10">
                  <c:v>3460</c:v>
                </c:pt>
                <c:pt idx="11">
                  <c:v>1150</c:v>
                </c:pt>
                <c:pt idx="12">
                  <c:v>1534</c:v>
                </c:pt>
                <c:pt idx="13">
                  <c:v>950</c:v>
                </c:pt>
                <c:pt idx="15">
                  <c:v>1616</c:v>
                </c:pt>
                <c:pt idx="16">
                  <c:v>3381</c:v>
                </c:pt>
                <c:pt idx="17">
                  <c:v>1642</c:v>
                </c:pt>
                <c:pt idx="18">
                  <c:v>870</c:v>
                </c:pt>
                <c:pt idx="19">
                  <c:v>470</c:v>
                </c:pt>
                <c:pt idx="20">
                  <c:v>440</c:v>
                </c:pt>
                <c:pt idx="21">
                  <c:v>1928</c:v>
                </c:pt>
                <c:pt idx="22">
                  <c:v>2838</c:v>
                </c:pt>
                <c:pt idx="23">
                  <c:v>982</c:v>
                </c:pt>
                <c:pt idx="24">
                  <c:v>1505</c:v>
                </c:pt>
                <c:pt idx="25">
                  <c:v>720</c:v>
                </c:pt>
                <c:pt idx="26">
                  <c:v>2020</c:v>
                </c:pt>
                <c:pt idx="27">
                  <c:v>347</c:v>
                </c:pt>
                <c:pt idx="28">
                  <c:v>173</c:v>
                </c:pt>
                <c:pt idx="30">
                  <c:v>16</c:v>
                </c:pt>
                <c:pt idx="42">
                  <c:v>925</c:v>
                </c:pt>
                <c:pt idx="43">
                  <c:v>850</c:v>
                </c:pt>
                <c:pt idx="44">
                  <c:v>377</c:v>
                </c:pt>
                <c:pt idx="45">
                  <c:v>550</c:v>
                </c:pt>
                <c:pt idx="46">
                  <c:v>414</c:v>
                </c:pt>
                <c:pt idx="47">
                  <c:v>1131</c:v>
                </c:pt>
                <c:pt idx="48">
                  <c:v>786</c:v>
                </c:pt>
              </c:numCache>
            </c:numRef>
          </c:xVal>
          <c:yVal>
            <c:numRef>
              <c:f>'[1]CHART 1'!$B$2:$B$50</c:f>
              <c:numCache>
                <c:formatCode>General</c:formatCode>
                <c:ptCount val="49"/>
                <c:pt idx="1">
                  <c:v>340250</c:v>
                </c:pt>
                <c:pt idx="2">
                  <c:v>347950</c:v>
                </c:pt>
                <c:pt idx="3">
                  <c:v>257600</c:v>
                </c:pt>
                <c:pt idx="4">
                  <c:v>521800</c:v>
                </c:pt>
                <c:pt idx="5">
                  <c:v>114700</c:v>
                </c:pt>
                <c:pt idx="6">
                  <c:v>222800</c:v>
                </c:pt>
                <c:pt idx="7">
                  <c:v>190000</c:v>
                </c:pt>
                <c:pt idx="8">
                  <c:v>1594000</c:v>
                </c:pt>
                <c:pt idx="9">
                  <c:v>297980</c:v>
                </c:pt>
                <c:pt idx="10">
                  <c:v>1176300</c:v>
                </c:pt>
                <c:pt idx="11">
                  <c:v>425000</c:v>
                </c:pt>
                <c:pt idx="12">
                  <c:v>580000</c:v>
                </c:pt>
                <c:pt idx="13">
                  <c:v>351320</c:v>
                </c:pt>
                <c:pt idx="15">
                  <c:v>644100</c:v>
                </c:pt>
                <c:pt idx="16">
                  <c:v>1015940</c:v>
                </c:pt>
                <c:pt idx="17">
                  <c:v>584200</c:v>
                </c:pt>
                <c:pt idx="18">
                  <c:v>343200</c:v>
                </c:pt>
                <c:pt idx="19">
                  <c:v>181500</c:v>
                </c:pt>
                <c:pt idx="20">
                  <c:v>182200</c:v>
                </c:pt>
                <c:pt idx="21">
                  <c:v>841200</c:v>
                </c:pt>
                <c:pt idx="22">
                  <c:v>1255440</c:v>
                </c:pt>
                <c:pt idx="23">
                  <c:v>446900</c:v>
                </c:pt>
                <c:pt idx="24">
                  <c:v>710450</c:v>
                </c:pt>
                <c:pt idx="25">
                  <c:v>294000</c:v>
                </c:pt>
                <c:pt idx="26">
                  <c:v>1120000</c:v>
                </c:pt>
                <c:pt idx="27">
                  <c:v>236350</c:v>
                </c:pt>
                <c:pt idx="28">
                  <c:v>129060</c:v>
                </c:pt>
                <c:pt idx="30">
                  <c:v>11200</c:v>
                </c:pt>
                <c:pt idx="42">
                  <c:v>760000</c:v>
                </c:pt>
                <c:pt idx="43">
                  <c:v>762500</c:v>
                </c:pt>
                <c:pt idx="44">
                  <c:v>290300</c:v>
                </c:pt>
                <c:pt idx="45">
                  <c:v>436500</c:v>
                </c:pt>
                <c:pt idx="46">
                  <c:v>359700</c:v>
                </c:pt>
                <c:pt idx="47">
                  <c:v>885500</c:v>
                </c:pt>
                <c:pt idx="48">
                  <c:v>723600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482987328"/>
        <c:axId val="-592862000"/>
      </c:scatterChart>
      <c:valAx>
        <c:axId val="-482987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rPr>
                  <a:t>Total Qty Sold </a:t>
                </a:r>
                <a:endParaRPr lang="en-AU"/>
              </a:p>
            </c:rich>
          </c:tx>
          <c:layout>
            <c:manualLayout>
              <c:xMode val="edge"/>
              <c:yMode val="edge"/>
              <c:x val="0.47543985126859145"/>
              <c:y val="0.91108778069407992"/>
            </c:manualLayout>
          </c:layout>
          <c:overlay val="0"/>
          <c:spPr>
            <a:solidFill>
              <a:schemeClr val="accent1"/>
            </a:solidFill>
            <a:ln w="25400" cap="flat" cmpd="sng" algn="ctr">
              <a:solidFill>
                <a:schemeClr val="accent1">
                  <a:shade val="50000"/>
                </a:schemeClr>
              </a:solidFill>
              <a:prstDash val="solid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592862000"/>
        <c:crosses val="autoZero"/>
        <c:crossBetween val="midCat"/>
      </c:valAx>
      <c:valAx>
        <c:axId val="-59286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rPr>
                  <a:t>Total Revenue </a:t>
                </a:r>
                <a:endParaRPr lang="en-AU"/>
              </a:p>
            </c:rich>
          </c:tx>
          <c:layout>
            <c:manualLayout>
              <c:xMode val="edge"/>
              <c:yMode val="edge"/>
              <c:x val="8.3333333333333332E-3"/>
              <c:y val="0.34039734616506268"/>
            </c:manualLayout>
          </c:layout>
          <c:overlay val="0"/>
          <c:spPr>
            <a:solidFill>
              <a:schemeClr val="accent1"/>
            </a:solidFill>
            <a:ln w="25400" cap="flat" cmpd="sng" algn="ctr">
              <a:solidFill>
                <a:schemeClr val="accent1">
                  <a:shade val="50000"/>
                </a:schemeClr>
              </a:solidFill>
              <a:prstDash val="solid"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₦&quot;#,##0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82987328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0</xdr:row>
      <xdr:rowOff>0</xdr:rowOff>
    </xdr:from>
    <xdr:to>
      <xdr:col>12</xdr:col>
      <xdr:colOff>571500</xdr:colOff>
      <xdr:row>14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714375</xdr:colOff>
      <xdr:row>14</xdr:row>
      <xdr:rowOff>28575</xdr:rowOff>
    </xdr:from>
    <xdr:to>
      <xdr:col>9</xdr:col>
      <xdr:colOff>104775</xdr:colOff>
      <xdr:row>28</xdr:row>
      <xdr:rowOff>104775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42862</xdr:colOff>
      <xdr:row>33</xdr:row>
      <xdr:rowOff>104775</xdr:rowOff>
    </xdr:from>
    <xdr:to>
      <xdr:col>13</xdr:col>
      <xdr:colOff>347662</xdr:colOff>
      <xdr:row>47</xdr:row>
      <xdr:rowOff>180975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519112</xdr:colOff>
      <xdr:row>63</xdr:row>
      <xdr:rowOff>161925</xdr:rowOff>
    </xdr:from>
    <xdr:to>
      <xdr:col>13</xdr:col>
      <xdr:colOff>214312</xdr:colOff>
      <xdr:row>78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ocuments/DATA%20ANALYSIS/EXCEL/MY%20PROJECT/ANALYSIS%20CHAR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 1"/>
      <sheetName val="CHART 2"/>
    </sheetNames>
    <sheetDataSet>
      <sheetData sheetId="0">
        <row r="1">
          <cell r="B1" t="str">
            <v>Total Revenue</v>
          </cell>
        </row>
        <row r="2">
          <cell r="A2"/>
          <cell r="B2"/>
        </row>
        <row r="3">
          <cell r="A3">
            <v>1274</v>
          </cell>
          <cell r="B3">
            <v>340250</v>
          </cell>
        </row>
        <row r="4">
          <cell r="A4">
            <v>1283</v>
          </cell>
          <cell r="B4">
            <v>347950</v>
          </cell>
        </row>
        <row r="5">
          <cell r="A5">
            <v>802</v>
          </cell>
          <cell r="B5">
            <v>257600</v>
          </cell>
        </row>
        <row r="6">
          <cell r="A6">
            <v>1560</v>
          </cell>
          <cell r="B6">
            <v>521800</v>
          </cell>
        </row>
        <row r="7">
          <cell r="A7">
            <v>376</v>
          </cell>
          <cell r="B7">
            <v>114700</v>
          </cell>
        </row>
        <row r="8">
          <cell r="A8">
            <v>706</v>
          </cell>
          <cell r="B8">
            <v>222800</v>
          </cell>
        </row>
        <row r="9">
          <cell r="A9">
            <v>600</v>
          </cell>
          <cell r="B9">
            <v>190000</v>
          </cell>
        </row>
        <row r="10">
          <cell r="A10">
            <v>4600</v>
          </cell>
          <cell r="B10">
            <v>1594000</v>
          </cell>
        </row>
        <row r="11">
          <cell r="A11">
            <v>954</v>
          </cell>
          <cell r="B11">
            <v>297980</v>
          </cell>
        </row>
        <row r="12">
          <cell r="A12">
            <v>3460</v>
          </cell>
          <cell r="B12">
            <v>1176300</v>
          </cell>
        </row>
        <row r="13">
          <cell r="A13">
            <v>1150</v>
          </cell>
          <cell r="B13">
            <v>425000</v>
          </cell>
        </row>
        <row r="14">
          <cell r="A14">
            <v>1534</v>
          </cell>
          <cell r="B14">
            <v>580000</v>
          </cell>
        </row>
        <row r="15">
          <cell r="A15">
            <v>950</v>
          </cell>
          <cell r="B15">
            <v>351320</v>
          </cell>
        </row>
        <row r="16">
          <cell r="A16"/>
          <cell r="B16"/>
        </row>
        <row r="17">
          <cell r="A17">
            <v>1616</v>
          </cell>
          <cell r="B17">
            <v>644100</v>
          </cell>
        </row>
        <row r="18">
          <cell r="A18">
            <v>3381</v>
          </cell>
          <cell r="B18">
            <v>1015940</v>
          </cell>
        </row>
        <row r="19">
          <cell r="A19">
            <v>1642</v>
          </cell>
          <cell r="B19">
            <v>584200</v>
          </cell>
        </row>
        <row r="20">
          <cell r="A20">
            <v>870</v>
          </cell>
          <cell r="B20">
            <v>343200</v>
          </cell>
        </row>
        <row r="21">
          <cell r="A21">
            <v>470</v>
          </cell>
          <cell r="B21">
            <v>181500</v>
          </cell>
        </row>
        <row r="22">
          <cell r="A22">
            <v>440</v>
          </cell>
          <cell r="B22">
            <v>182200</v>
          </cell>
        </row>
        <row r="23">
          <cell r="A23">
            <v>1928</v>
          </cell>
          <cell r="B23">
            <v>841200</v>
          </cell>
        </row>
        <row r="24">
          <cell r="A24">
            <v>2838</v>
          </cell>
          <cell r="B24">
            <v>1255440</v>
          </cell>
        </row>
        <row r="25">
          <cell r="A25">
            <v>982</v>
          </cell>
          <cell r="B25">
            <v>446900</v>
          </cell>
        </row>
        <row r="26">
          <cell r="A26">
            <v>1505</v>
          </cell>
          <cell r="B26">
            <v>710450</v>
          </cell>
        </row>
        <row r="27">
          <cell r="A27">
            <v>720</v>
          </cell>
          <cell r="B27">
            <v>294000</v>
          </cell>
        </row>
        <row r="28">
          <cell r="A28">
            <v>2020</v>
          </cell>
          <cell r="B28">
            <v>1120000</v>
          </cell>
        </row>
        <row r="29">
          <cell r="A29">
            <v>347</v>
          </cell>
          <cell r="B29">
            <v>236350</v>
          </cell>
        </row>
        <row r="30">
          <cell r="A30">
            <v>173</v>
          </cell>
          <cell r="B30">
            <v>129060</v>
          </cell>
        </row>
        <row r="31">
          <cell r="A31"/>
          <cell r="B31"/>
        </row>
        <row r="32">
          <cell r="A32">
            <v>16</v>
          </cell>
          <cell r="B32">
            <v>11200</v>
          </cell>
        </row>
        <row r="33">
          <cell r="A33"/>
          <cell r="B33"/>
        </row>
        <row r="34">
          <cell r="A34"/>
          <cell r="B34"/>
        </row>
        <row r="35">
          <cell r="A35"/>
          <cell r="B35"/>
        </row>
        <row r="36">
          <cell r="A36"/>
          <cell r="B36"/>
        </row>
        <row r="37">
          <cell r="A37"/>
          <cell r="B37"/>
        </row>
        <row r="38">
          <cell r="A38"/>
          <cell r="B38"/>
        </row>
        <row r="39">
          <cell r="A39"/>
          <cell r="B39"/>
        </row>
        <row r="40">
          <cell r="A40"/>
          <cell r="B40"/>
        </row>
        <row r="41">
          <cell r="A41"/>
          <cell r="B41"/>
        </row>
        <row r="42">
          <cell r="A42"/>
          <cell r="B42"/>
        </row>
        <row r="43">
          <cell r="A43"/>
          <cell r="B43"/>
        </row>
        <row r="44">
          <cell r="A44">
            <v>925</v>
          </cell>
          <cell r="B44">
            <v>760000</v>
          </cell>
        </row>
        <row r="45">
          <cell r="A45">
            <v>850</v>
          </cell>
          <cell r="B45">
            <v>762500</v>
          </cell>
        </row>
        <row r="46">
          <cell r="A46">
            <v>377</v>
          </cell>
          <cell r="B46">
            <v>290300</v>
          </cell>
        </row>
        <row r="47">
          <cell r="A47">
            <v>550</v>
          </cell>
          <cell r="B47">
            <v>436500</v>
          </cell>
        </row>
        <row r="48">
          <cell r="A48">
            <v>414</v>
          </cell>
          <cell r="B48">
            <v>359700</v>
          </cell>
        </row>
        <row r="49">
          <cell r="A49">
            <v>1131</v>
          </cell>
          <cell r="B49">
            <v>885500</v>
          </cell>
        </row>
        <row r="50">
          <cell r="A50">
            <v>786</v>
          </cell>
          <cell r="B50">
            <v>723600</v>
          </cell>
        </row>
      </sheetData>
      <sheetData sheetId="1">
        <row r="1">
          <cell r="B1" t="str">
            <v>Total Profit</v>
          </cell>
        </row>
        <row r="2">
          <cell r="A2">
            <v>276125</v>
          </cell>
          <cell r="B2">
            <v>-276125</v>
          </cell>
        </row>
        <row r="3">
          <cell r="A3">
            <v>63700</v>
          </cell>
          <cell r="B3">
            <v>276550</v>
          </cell>
        </row>
        <row r="4">
          <cell r="A4">
            <v>472150</v>
          </cell>
          <cell r="B4">
            <v>-124200</v>
          </cell>
        </row>
        <row r="5">
          <cell r="A5">
            <v>255900</v>
          </cell>
          <cell r="B5">
            <v>1700</v>
          </cell>
        </row>
        <row r="6">
          <cell r="A6">
            <v>340400</v>
          </cell>
          <cell r="B6">
            <v>181400</v>
          </cell>
        </row>
        <row r="7">
          <cell r="A7">
            <v>115800</v>
          </cell>
          <cell r="B7">
            <v>-1100</v>
          </cell>
        </row>
        <row r="8">
          <cell r="A8">
            <v>261800</v>
          </cell>
          <cell r="B8">
            <v>-39000</v>
          </cell>
        </row>
        <row r="9">
          <cell r="A9">
            <v>142700</v>
          </cell>
          <cell r="B9">
            <v>47300</v>
          </cell>
        </row>
        <row r="10">
          <cell r="A10">
            <v>1295200</v>
          </cell>
          <cell r="B10">
            <v>298800</v>
          </cell>
        </row>
        <row r="11">
          <cell r="A11">
            <v>444350</v>
          </cell>
          <cell r="B11">
            <v>-146370</v>
          </cell>
        </row>
        <row r="12">
          <cell r="A12">
            <v>1017500</v>
          </cell>
          <cell r="B12">
            <v>158800</v>
          </cell>
        </row>
        <row r="13">
          <cell r="A13">
            <v>172000</v>
          </cell>
          <cell r="B13">
            <v>253000</v>
          </cell>
        </row>
        <row r="14">
          <cell r="A14">
            <v>511300</v>
          </cell>
          <cell r="B14">
            <v>68700</v>
          </cell>
        </row>
        <row r="15">
          <cell r="A15">
            <v>258900</v>
          </cell>
          <cell r="B15">
            <v>92420</v>
          </cell>
        </row>
        <row r="16">
          <cell r="A16"/>
          <cell r="B16"/>
        </row>
        <row r="17">
          <cell r="A17">
            <v>568960</v>
          </cell>
          <cell r="B17">
            <v>75140</v>
          </cell>
        </row>
        <row r="18">
          <cell r="A18">
            <v>877290</v>
          </cell>
          <cell r="B18">
            <v>138650</v>
          </cell>
        </row>
        <row r="19">
          <cell r="A19">
            <v>179420</v>
          </cell>
          <cell r="B19">
            <v>404780</v>
          </cell>
        </row>
        <row r="20">
          <cell r="A20">
            <v>442200</v>
          </cell>
          <cell r="B20">
            <v>-99000</v>
          </cell>
        </row>
        <row r="21">
          <cell r="A21">
            <v>360670</v>
          </cell>
          <cell r="B21">
            <v>-179170</v>
          </cell>
        </row>
        <row r="22">
          <cell r="A22">
            <v>275580</v>
          </cell>
          <cell r="B22">
            <v>-93380</v>
          </cell>
        </row>
        <row r="23">
          <cell r="A23">
            <v>690830</v>
          </cell>
          <cell r="B23">
            <v>150370</v>
          </cell>
        </row>
        <row r="24">
          <cell r="A24">
            <v>971030</v>
          </cell>
          <cell r="B24">
            <v>284410</v>
          </cell>
        </row>
        <row r="25">
          <cell r="A25">
            <v>295620</v>
          </cell>
          <cell r="B25">
            <v>151280</v>
          </cell>
        </row>
        <row r="26">
          <cell r="A26">
            <v>646250</v>
          </cell>
          <cell r="B26">
            <v>64200</v>
          </cell>
        </row>
        <row r="27">
          <cell r="A27">
            <v>105400</v>
          </cell>
          <cell r="B27">
            <v>188600</v>
          </cell>
        </row>
        <row r="28">
          <cell r="A28">
            <v>935200</v>
          </cell>
          <cell r="B28">
            <v>184800</v>
          </cell>
        </row>
        <row r="29">
          <cell r="A29">
            <v>109290</v>
          </cell>
          <cell r="B29">
            <v>127060</v>
          </cell>
        </row>
        <row r="30">
          <cell r="A30">
            <v>12110</v>
          </cell>
          <cell r="B30">
            <v>116950</v>
          </cell>
        </row>
        <row r="31">
          <cell r="A31"/>
          <cell r="B31"/>
        </row>
        <row r="32">
          <cell r="A32"/>
          <cell r="B32">
            <v>11200</v>
          </cell>
        </row>
        <row r="33">
          <cell r="A33"/>
          <cell r="B33"/>
        </row>
        <row r="34">
          <cell r="A34"/>
          <cell r="B34"/>
        </row>
        <row r="35">
          <cell r="A35"/>
          <cell r="B35"/>
        </row>
        <row r="36">
          <cell r="A36"/>
          <cell r="B36"/>
        </row>
        <row r="37">
          <cell r="A37"/>
          <cell r="B37"/>
        </row>
        <row r="38">
          <cell r="A38"/>
          <cell r="B38"/>
        </row>
        <row r="39">
          <cell r="A39"/>
          <cell r="B39"/>
        </row>
        <row r="40">
          <cell r="A40"/>
          <cell r="B40"/>
        </row>
        <row r="41">
          <cell r="A41"/>
          <cell r="B41"/>
        </row>
        <row r="42">
          <cell r="A42"/>
          <cell r="B42"/>
        </row>
        <row r="43">
          <cell r="A43">
            <v>814450</v>
          </cell>
          <cell r="B43">
            <v>-814450</v>
          </cell>
        </row>
        <row r="44">
          <cell r="A44">
            <v>69375</v>
          </cell>
          <cell r="B44">
            <v>690625</v>
          </cell>
        </row>
        <row r="45">
          <cell r="A45">
            <v>741250</v>
          </cell>
          <cell r="B45">
            <v>21250</v>
          </cell>
        </row>
        <row r="46">
          <cell r="A46">
            <v>23550</v>
          </cell>
          <cell r="B46">
            <v>266750</v>
          </cell>
        </row>
        <row r="47">
          <cell r="A47">
            <v>141250</v>
          </cell>
          <cell r="B47">
            <v>295250</v>
          </cell>
        </row>
        <row r="48">
          <cell r="A48">
            <v>273450</v>
          </cell>
          <cell r="B48">
            <v>86250</v>
          </cell>
        </row>
        <row r="49">
          <cell r="A49">
            <v>1235025</v>
          </cell>
          <cell r="B49">
            <v>-349525</v>
          </cell>
        </row>
        <row r="50">
          <cell r="A50">
            <v>58950</v>
          </cell>
          <cell r="B50">
            <v>664650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147.291692361112" createdVersion="5" refreshedVersion="5" minRefreshableVersion="3" recordCount="198">
  <cacheSource type="worksheet">
    <worksheetSource ref="A1:K199" sheet="SALES__DATA"/>
  </cacheSource>
  <cacheFields count="11">
    <cacheField name="Date Of Sales" numFmtId="14">
      <sharedItems containsSemiMixedTypes="0" containsNonDate="0" containsDate="1" containsString="0" minDate="2014-02-22T00:00:00" maxDate="2025-12-31T00:00:00" count="162">
        <d v="2022-01-08T00:00:00"/>
        <d v="2022-01-12T00:00:00"/>
        <d v="2022-01-29T00:00:00"/>
        <d v="2022-01-31T00:00:00"/>
        <d v="2022-02-01T00:00:00"/>
        <d v="2022-02-04T00:00:00"/>
        <d v="2022-02-05T00:00:00"/>
        <d v="2022-02-08T00:00:00"/>
        <d v="2022-02-15T00:00:00"/>
        <d v="2022-02-16T00:00:00"/>
        <d v="2022-02-19T00:00:00"/>
        <d v="2022-02-24T00:00:00"/>
        <d v="2022-02-28T00:00:00"/>
        <d v="2022-03-03T00:00:00"/>
        <d v="2022-03-05T00:00:00"/>
        <d v="2022-03-12T00:00:00"/>
        <d v="2022-03-18T00:00:00"/>
        <d v="2022-03-28T00:00:00"/>
        <d v="2022-04-01T00:00:00"/>
        <d v="2022-04-14T00:00:00"/>
        <d v="2022-04-23T00:00:00"/>
        <d v="2022-05-09T00:00:00"/>
        <d v="2022-05-12T00:00:00"/>
        <d v="2022-05-30T00:00:00"/>
        <d v="2022-05-31T00:00:00"/>
        <d v="2022-06-03T00:00:00"/>
        <d v="2022-06-09T00:00:00"/>
        <d v="2022-06-11T00:00:00"/>
        <d v="2022-06-13T00:00:00"/>
        <d v="2022-06-14T00:00:00"/>
        <d v="2022-06-18T00:00:00"/>
        <d v="2022-07-16T00:00:00"/>
        <d v="2022-07-27T00:00:00"/>
        <d v="2022-08-19T00:00:00"/>
        <d v="2022-09-09T00:00:00"/>
        <d v="2022-09-10T00:00:00"/>
        <d v="2022-09-12T00:00:00"/>
        <d v="2022-09-14T00:00:00"/>
        <d v="2022-09-19T00:00:00"/>
        <d v="2022-09-27T00:00:00"/>
        <d v="2022-10-06T00:00:00"/>
        <d v="2022-10-11T00:00:00"/>
        <d v="2022-10-13T00:00:00"/>
        <d v="2022-10-17T00:00:00"/>
        <d v="2022-10-18T00:00:00"/>
        <d v="2022-10-21T00:00:00"/>
        <d v="2022-10-24T00:00:00"/>
        <d v="2022-11-02T00:00:00"/>
        <d v="2022-11-03T00:00:00"/>
        <d v="2022-11-14T00:00:00"/>
        <d v="2022-11-15T00:00:00"/>
        <d v="2022-11-29T00:00:00"/>
        <d v="2022-12-14T00:00:00"/>
        <d v="2022-12-15T00:00:00"/>
        <d v="2022-12-16T00:00:00"/>
        <d v="2022-12-18T00:00:00"/>
        <d v="2022-12-20T00:00:00"/>
        <d v="2022-12-21T00:00:00"/>
        <d v="2022-12-22T00:00:00"/>
        <d v="2022-12-25T00:00:00"/>
        <d v="2022-12-26T00:00:00"/>
        <d v="2023-01-04T00:00:00"/>
        <d v="2023-01-06T00:00:00"/>
        <d v="2023-01-09T00:00:00"/>
        <d v="2023-01-11T00:00:00"/>
        <d v="2023-01-12T00:00:00"/>
        <d v="2023-01-24T00:00:00"/>
        <d v="2023-03-02T00:00:00"/>
        <d v="2023-03-20T00:00:00"/>
        <d v="2023-03-22T00:00:00"/>
        <d v="2023-03-24T00:00:00"/>
        <d v="2023-03-30T00:00:00"/>
        <d v="2023-03-31T00:00:00"/>
        <d v="2023-04-01T00:00:00"/>
        <d v="2023-04-05T00:00:00"/>
        <d v="2023-04-08T00:00:00"/>
        <d v="2023-04-10T00:00:00"/>
        <d v="2023-04-11T00:00:00"/>
        <d v="2023-04-12T00:00:00"/>
        <d v="2023-04-15T00:00:00"/>
        <d v="2023-05-09T00:00:00"/>
        <d v="2023-05-22T00:00:00"/>
        <d v="2023-05-30T00:00:00"/>
        <d v="2023-05-31T00:00:00"/>
        <d v="2023-06-07T00:00:00"/>
        <d v="2023-06-08T00:00:00"/>
        <d v="2023-06-10T00:00:00"/>
        <d v="2023-06-11T00:00:00"/>
        <d v="2023-06-26T00:00:00"/>
        <d v="2023-06-29T00:00:00"/>
        <d v="2023-07-14T00:00:00"/>
        <d v="2023-07-15T00:00:00"/>
        <d v="2023-07-24T00:00:00"/>
        <d v="2023-08-06T00:00:00"/>
        <d v="2023-08-17T00:00:00"/>
        <d v="2023-08-28T00:00:00"/>
        <d v="2023-09-01T00:00:00"/>
        <d v="2023-09-02T00:00:00"/>
        <d v="2023-09-05T00:00:00"/>
        <d v="2023-09-18T00:00:00"/>
        <d v="2023-09-19T00:00:00"/>
        <d v="2023-09-29T00:00:00"/>
        <d v="2023-10-02T00:00:00"/>
        <d v="2023-10-10T00:00:00"/>
        <d v="2023-10-12T00:00:00"/>
        <d v="2023-10-14T00:00:00"/>
        <d v="2023-10-18T00:00:00"/>
        <d v="2023-10-25T00:00:00"/>
        <d v="2023-10-31T00:00:00"/>
        <d v="2023-11-04T00:00:00"/>
        <d v="2023-11-06T00:00:00"/>
        <d v="2023-11-09T00:00:00"/>
        <d v="2023-11-15T00:00:00"/>
        <d v="2023-11-28T00:00:00"/>
        <d v="2023-11-30T00:00:00"/>
        <d v="2023-12-01T00:00:00"/>
        <d v="2023-12-06T00:00:00"/>
        <d v="2023-12-13T00:00:00"/>
        <d v="2023-12-14T00:00:00"/>
        <d v="2023-12-16T00:00:00"/>
        <d v="2023-12-23T00:00:00"/>
        <d v="2024-01-10T00:00:00"/>
        <d v="2024-01-23T00:00:00"/>
        <d v="2024-01-25T00:00:00"/>
        <d v="2024-01-29T00:00:00"/>
        <d v="2024-02-15T00:00:00"/>
        <d v="2024-02-16T00:00:00"/>
        <d v="2014-02-22T00:00:00"/>
        <d v="2024-02-22T00:00:00"/>
        <d v="2024-02-26T00:00:00"/>
        <d v="2024-02-27T00:00:00"/>
        <d v="2024-03-08T00:00:00"/>
        <d v="2024-03-21T00:00:00"/>
        <d v="2024-03-26T00:00:00"/>
        <d v="2014-04-01T00:00:00"/>
        <d v="2024-04-13T00:00:00"/>
        <d v="2024-04-15T00:00:00"/>
        <d v="2024-06-24T00:00:00"/>
        <d v="2025-06-02T00:00:00"/>
        <d v="2025-06-12T00:00:00"/>
        <d v="2025-06-30T00:00:00"/>
        <d v="2025-07-05T00:00:00"/>
        <d v="2025-07-24T00:00:00"/>
        <d v="2025-08-02T00:00:00"/>
        <d v="2025-08-22T00:00:00"/>
        <d v="2025-08-24T00:00:00"/>
        <d v="2025-08-27T00:00:00"/>
        <d v="2025-08-28T00:00:00"/>
        <d v="2025-09-03T00:00:00"/>
        <d v="2025-09-19T00:00:00"/>
        <d v="2025-10-09T00:00:00"/>
        <d v="2025-10-10T00:00:00"/>
        <d v="2025-10-22T00:00:00"/>
        <d v="2025-10-28T00:00:00"/>
        <d v="2025-11-15T00:00:00"/>
        <d v="2025-11-21T00:00:00"/>
        <d v="2025-11-22T00:00:00"/>
        <d v="2025-12-05T00:00:00"/>
        <d v="2025-12-10T00:00:00"/>
        <d v="2025-12-24T00:00:00"/>
        <d v="2025-12-29T00:00:00"/>
        <d v="2025-12-30T00:00:00"/>
      </sharedItems>
    </cacheField>
    <cacheField name="Customer Name" numFmtId="0">
      <sharedItems count="93">
        <s v="DAD SEMILORE"/>
        <s v="MR&amp;MRS OMOLERE"/>
        <s v="ORIYOMI"/>
        <s v="CSTM@OKO-OPE"/>
        <s v="Nearby CSTM@OKO-OPE"/>
        <s v="IYA ADURA"/>
        <s v="BABA IBEJI BRICK-LAYER"/>
        <s v="BABA SAMSON"/>
        <s v="SERIKI"/>
        <s v="CHURCH ORIOKE"/>
        <s v="CORNERPIECE"/>
        <s v="ARISE CSTM"/>
        <s v="ALHJ ONAARA"/>
        <s v="OLORI"/>
        <s v="DAD PRAISE REFERRAL 1"/>
        <s v="OGA SANMI"/>
        <s v="SUPRISE MUMMY"/>
        <s v="ADEBISI SCH."/>
        <s v="ENG. WAHEED"/>
        <s v="BRICKLAYER CONERPIEC 1"/>
        <s v="BRICKLAYER CONERPICE 2"/>
        <s v="SURVEYOR SAMBEST"/>
        <s v="NEPA CSTM"/>
        <s v="IYA IZOBO REFERRAL 1"/>
        <s v="DAD PRAISE REFERRAL 3"/>
        <s v="DAD PRAISE"/>
        <s v="DAD PRAISE REFERRAL 2"/>
        <s v="BABA OLOKO CSTM"/>
        <s v="GBAJUE CSTM"/>
        <s v="CSTM. ISMAIL"/>
        <s v="AYO CSTM"/>
        <s v="JAWA CSTM"/>
        <s v="MOSHOOD JOSEPH"/>
        <s v="BISHOP BRICKLAYER"/>
        <s v="SUPRISE MUMMY FRIEND"/>
        <s v="DAD PRAISE REFERRAL 4"/>
        <s v="D.P.R.3 BRICKLAYER"/>
        <s v="CSTM ATOYEBI FARUQ"/>
        <s v="CSTM AJEIGBE"/>
        <s v="IYA SODIQ"/>
        <s v="SURVEYOR CSTM"/>
        <s v="MR JEREMIAH"/>
        <s v="ALHAJA CSTM RFRL 1"/>
        <s v="ALHAJA CSTM RFRL 2"/>
        <s v="CSTM TEMITOPE"/>
        <s v="MR ADEBAYO/NICE CSTM"/>
        <s v="IJIKU POULTRY CSTM"/>
        <s v="MR LUKMAN NEIGHBOUR"/>
        <s v="BABA ASOLO"/>
        <s v="ENG. LEKAN/BABA"/>
        <s v="DAD SALAM BRICKLAYER"/>
        <s v="BRICKLAYER D.P.R.3"/>
        <s v="DAD EMA WELDER CSTM"/>
        <s v="BRICKLAYER TELLA"/>
        <s v="CSTM DADA"/>
        <s v="CSTM DADA TAIWO"/>
        <s v="CSTM CHIBUIKE"/>
        <s v="NEIGHBOUR EZEKIEL"/>
        <s v="BRICKLAYER SURVEYOR"/>
        <s v="SAMBEST REFERRAL 1"/>
        <s v="MAMA DAADA"/>
        <s v="EGBON BIOYE"/>
        <s v="ELECT. AFEEZ"/>
        <s v="CSTM TUNDE"/>
        <s v="CSTM. EGBON SEUN"/>
        <s v="MR FLORENCE"/>
        <s v="CHIEF LEJOFI"/>
        <s v="CSTM. LUKMAN"/>
        <s v="OFFISER HASSAN"/>
        <s v="BABA ADINI"/>
        <s v="MR. OLA CSTM"/>
        <s v="PAAPA"/>
        <s v="ENG. WAHEED PLUMBER"/>
        <s v="CAPENTER CSTM"/>
        <s v="Arrangement falling"/>
        <s v="CSTM. BUSUYI ALUKO"/>
        <s v="OBALOLUWA BLOCK"/>
        <s v="THIEVES"/>
        <s v="ENG. TUNDE"/>
        <s v="CSTM. BINTINLAYE"/>
        <s v="CSTM. WILLY"/>
        <s v="AHLU SUNNAH"/>
        <s v="MR&amp;MRS ESUPOFO"/>
        <s v="CSTM. KAYODE"/>
        <s v="NEIGHBOR OLUWATOYIN"/>
        <s v="CSTM. BUSH"/>
        <s v="CSTM. OLUAYAN"/>
        <s v="CSTM. AWE"/>
        <s v="DAD  PRAISE REFERRAL 2" u="1"/>
        <s v="DAD  PRAISE REFERRAL 3" u="1"/>
        <s v="BISHOP" u="1"/>
        <s v="ANGEL CSTM" u="1"/>
        <s v="Adebisi Sch" u="1"/>
      </sharedItems>
    </cacheField>
    <cacheField name="Product Type" numFmtId="0">
      <sharedItems count="3">
        <s v="6 Inches"/>
        <s v="7 Inches"/>
        <s v="9 Inches"/>
      </sharedItems>
    </cacheField>
    <cacheField name="Qty Sold" numFmtId="0">
      <sharedItems containsSemiMixedTypes="0" containsString="0" containsNumber="1" containsInteger="1" minValue="2" maxValue="3800"/>
    </cacheField>
    <cacheField name="Rate " numFmtId="164">
      <sharedItems containsSemiMixedTypes="0" containsString="0" containsNumber="1" containsInteger="1" minValue="250" maxValue="1000"/>
    </cacheField>
    <cacheField name="Amount" numFmtId="164">
      <sharedItems containsSemiMixedTypes="0" containsString="0" containsNumber="1" containsInteger="1" minValue="600" maxValue="1330000"/>
    </cacheField>
    <cacheField name="Bad Debt" numFmtId="164">
      <sharedItems containsString="0" containsBlank="1" containsNumber="1" containsInteger="1" minValue="30" maxValue="50000"/>
    </cacheField>
    <cacheField name="Revenue" numFmtId="164">
      <sharedItems containsSemiMixedTypes="0" containsString="0" containsNumber="1" containsInteger="1" minValue="0" maxValue="1330000"/>
    </cacheField>
    <cacheField name="DAILY" numFmtId="0">
      <sharedItems count="7">
        <s v="SATURDAY"/>
        <s v="WEDNESDAY"/>
        <s v="MONDAY"/>
        <s v="TUESDAY"/>
        <s v="FRIDAY"/>
        <s v="THURSDAY"/>
        <s v="SUNDAY"/>
      </sharedItems>
    </cacheField>
    <cacheField name="MONTHLY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ANUALLY" numFmtId="0">
      <sharedItems containsSemiMixedTypes="0" containsString="0" containsNumber="1" containsInteger="1" minValue="2022" maxValue="2025" count="4">
        <n v="2022"/>
        <n v="2023"/>
        <n v="2024"/>
        <n v="20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P" refreshedDate="46147.291918518516" createdVersion="5" refreshedVersion="5" minRefreshableVersion="3" recordCount="49">
  <cacheSource type="worksheet">
    <worksheetSource ref="A1:V50" sheet="PRODUCTION_DATA"/>
  </cacheSource>
  <cacheFields count="22">
    <cacheField name="Date" numFmtId="17">
      <sharedItems containsSemiMixedTypes="0" containsNonDate="0" containsDate="1" containsString="0" minDate="2021-12-01T00:00:00" maxDate="2025-12-02T00:00:00" count="49"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</cacheField>
    <cacheField name="6 Inches Qty" numFmtId="0">
      <sharedItems containsString="0" containsBlank="1" containsNumber="1" containsInteger="1" minValue="303" maxValue="1920"/>
    </cacheField>
    <cacheField name="7 Inches Qty" numFmtId="0">
      <sharedItems containsString="0" containsBlank="1" containsNumber="1" containsInteger="1" minValue="20" maxValue="2500"/>
    </cacheField>
    <cacheField name="9 Inches Qty" numFmtId="0">
      <sharedItems containsString="0" containsBlank="1" containsNumber="1" containsInteger="1" minValue="210" maxValue="3226"/>
    </cacheField>
    <cacheField name="Total Qty Produced" numFmtId="0">
      <sharedItems containsString="0" containsBlank="1" containsNumber="1" containsInteger="1" minValue="430" maxValue="3795"/>
    </cacheField>
    <cacheField name="Total Qty Sold" numFmtId="0">
      <sharedItems containsString="0" containsBlank="1" containsNumber="1" containsInteger="1" minValue="16" maxValue="4600"/>
    </cacheField>
    <cacheField name="Tons Of Sand " numFmtId="0">
      <sharedItems containsString="0" containsBlank="1" containsNumber="1" containsInteger="1" minValue="8" maxValue="100"/>
    </cacheField>
    <cacheField name="Bags of Cement " numFmtId="0">
      <sharedItems containsString="0" containsBlank="1" containsNumber="1" containsInteger="1" minValue="7" maxValue="86"/>
    </cacheField>
    <cacheField name="Bag Produced" numFmtId="0">
      <sharedItems containsString="0" containsBlank="1" containsNumber="1" containsInteger="1" minValue="6" maxValue="86"/>
    </cacheField>
    <cacheField name="Ltr. Of Fuel" numFmtId="0">
      <sharedItems containsString="0" containsBlank="1" containsNumber="1" containsInteger="1" minValue="6" maxValue="61"/>
    </cacheField>
    <cacheField name="Sand Cost" numFmtId="164">
      <sharedItems containsString="0" containsBlank="1" containsNumber="1" containsInteger="1" minValue="37500" maxValue="510000"/>
    </cacheField>
    <cacheField name="Cement Cost" numFmtId="164">
      <sharedItems containsString="0" containsBlank="1" containsNumber="1" containsInteger="1" minValue="32900" maxValue="435800"/>
    </cacheField>
    <cacheField name="Operators' Payment" numFmtId="164">
      <sharedItems containsString="0" containsBlank="1" containsNumber="1" containsInteger="1" minValue="9000" maxValue="142000"/>
    </cacheField>
    <cacheField name="Fuel Cost" numFmtId="164">
      <sharedItems containsString="0" containsBlank="1" containsNumber="1" containsInteger="1" minValue="1500" maxValue="32500"/>
    </cacheField>
    <cacheField name="Maintenance" numFmtId="164">
      <sharedItems containsString="0" containsBlank="1" containsNumber="1" containsInteger="1" minValue="1500" maxValue="237700"/>
    </cacheField>
    <cacheField name="Delivery Cost" numFmtId="164">
      <sharedItems containsString="0" containsBlank="1" containsNumber="1" containsInteger="1" minValue="1120" maxValue="230000"/>
    </cacheField>
    <cacheField name="Total Revenue" numFmtId="164">
      <sharedItems containsString="0" containsBlank="1" containsNumber="1" containsInteger="1" minValue="11200" maxValue="1594000"/>
    </cacheField>
    <cacheField name="Total Cost" numFmtId="164">
      <sharedItems containsString="0" containsBlank="1" containsNumber="1" containsInteger="1" minValue="12110" maxValue="1295200" count="37">
        <n v="276125"/>
        <n v="63700"/>
        <n v="472150"/>
        <n v="255900"/>
        <n v="340400"/>
        <n v="115800"/>
        <n v="261800"/>
        <n v="142700"/>
        <n v="1295200"/>
        <n v="444350"/>
        <n v="1017500"/>
        <n v="172000"/>
        <n v="511300"/>
        <n v="258900"/>
        <m/>
        <n v="568960"/>
        <n v="877290"/>
        <n v="179420"/>
        <n v="442200"/>
        <n v="360670"/>
        <n v="275580"/>
        <n v="690830"/>
        <n v="971030"/>
        <n v="295620"/>
        <n v="646250"/>
        <n v="105400"/>
        <n v="935200"/>
        <n v="109290"/>
        <n v="12110"/>
        <n v="814450"/>
        <n v="69375"/>
        <n v="741250"/>
        <n v="23550"/>
        <n v="141250"/>
        <n v="273450"/>
        <n v="1235025"/>
        <n v="58950"/>
      </sharedItems>
    </cacheField>
    <cacheField name="Total Profit" numFmtId="164">
      <sharedItems containsString="0" containsBlank="1" containsNumber="1" containsInteger="1" minValue="-814450" maxValue="690625"/>
    </cacheField>
    <cacheField name="Bad Debt" numFmtId="164">
      <sharedItems containsString="0" containsBlank="1" containsNumber="1" containsInteger="1" minValue="100" maxValue="50400"/>
    </cacheField>
    <cacheField name="MONTHLY" numFmtId="164">
      <sharedItems containsBlank="1" count="13">
        <s v="DEC"/>
        <s v="JAN"/>
        <s v="FEB"/>
        <s v="MAR"/>
        <s v="APR"/>
        <s v="MAY"/>
        <s v="JUN"/>
        <s v="JUL"/>
        <s v="AUG"/>
        <s v="SEP"/>
        <s v="OCT"/>
        <s v="NOV"/>
        <m/>
      </sharedItems>
    </cacheField>
    <cacheField name="ANUALLY" numFmtId="0">
      <sharedItems containsSemiMixedTypes="0" containsString="0" containsNumber="1" containsInteger="1" minValue="2021" maxValue="2025" count="5">
        <n v="2021"/>
        <n v="2022"/>
        <n v="2023"/>
        <n v="2024"/>
        <n v="20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HP" refreshedDate="46147.29228159722" backgroundQuery="1" createdVersion="5" refreshedVersion="5" minRefreshableVersion="3" recordCount="0" supportSubquery="1" supportAdvancedDrill="1">
  <cacheSource type="external" connectionId="1"/>
  <cacheFields count="5">
    <cacheField name="[Range].[ANUALLY].[ANUALLY]" caption="ANUALLY" numFmtId="0" hierarchy="21" level="1">
      <sharedItems containsSemiMixedTypes="0" containsString="0" containsNumber="1" containsInteger="1" minValue="2021" maxValue="2025" count="5">
        <n v="2021"/>
        <n v="2022"/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Range].[ANUALLY].&amp;[2021]"/>
            <x15:cachedUniqueName index="1" name="[Range].[ANUALLY].&amp;[2022]"/>
            <x15:cachedUniqueName index="2" name="[Range].[ANUALLY].&amp;[2023]"/>
            <x15:cachedUniqueName index="3" name="[Range].[ANUALLY].&amp;[2024]"/>
            <x15:cachedUniqueName index="4" name="[Range].[ANUALLY].&amp;[2025]"/>
          </x15:cachedUniqueNames>
        </ext>
      </extLst>
    </cacheField>
    <cacheField name="[Range].[MONTHLY].[MONTHLY]" caption="MONTHLY" numFmtId="0" hierarchy="20" level="1">
      <sharedItems count="12">
        <s v="DEC"/>
        <s v="APR"/>
        <s v="AUG"/>
        <s v="FEB"/>
        <s v="JAN"/>
        <s v="JUL"/>
        <s v="JUN"/>
        <s v="MAR"/>
        <s v="MAY"/>
        <s v="NOV"/>
        <s v="OCT"/>
        <s v="SEP"/>
      </sharedItems>
    </cacheField>
    <cacheField name="[Range].[Total Qty Produced].[Total Qty Produced]" caption="Total Qty Produced" numFmtId="0" hierarchy="4" level="1">
      <sharedItems containsSemiMixedTypes="0" containsString="0" containsNumber="1" containsInteger="1" minValue="354" maxValue="3795" count="27">
        <n v="354"/>
        <n v="430"/>
        <n v="546"/>
        <n v="584"/>
        <n v="645"/>
        <n v="760"/>
        <n v="780"/>
        <n v="788"/>
        <n v="824"/>
        <n v="903"/>
        <n v="1040"/>
        <n v="1140"/>
        <n v="1498"/>
        <n v="1526"/>
        <n v="1656"/>
        <n v="1657"/>
        <n v="1856"/>
        <n v="2010"/>
        <n v="2011"/>
        <n v="2079"/>
        <n v="2286"/>
        <n v="2360"/>
        <n v="2375"/>
        <n v="2780"/>
        <n v="3615"/>
        <n v="3774"/>
        <n v="3795"/>
      </sharedItems>
      <extLst>
        <ext xmlns:x15="http://schemas.microsoft.com/office/spreadsheetml/2010/11/main" uri="{4F2E5C28-24EA-4eb8-9CBF-B6C8F9C3D259}">
          <x15:cachedUniqueNames>
            <x15:cachedUniqueName index="0" name="[Range].[Total Qty Produced].&amp;[354]"/>
            <x15:cachedUniqueName index="1" name="[Range].[Total Qty Produced].&amp;[430]"/>
            <x15:cachedUniqueName index="2" name="[Range].[Total Qty Produced].&amp;[546]"/>
            <x15:cachedUniqueName index="3" name="[Range].[Total Qty Produced].&amp;[584]"/>
            <x15:cachedUniqueName index="4" name="[Range].[Total Qty Produced].&amp;[645]"/>
            <x15:cachedUniqueName index="5" name="[Range].[Total Qty Produced].&amp;[760]"/>
            <x15:cachedUniqueName index="6" name="[Range].[Total Qty Produced].&amp;[780]"/>
            <x15:cachedUniqueName index="7" name="[Range].[Total Qty Produced].&amp;[788]"/>
            <x15:cachedUniqueName index="8" name="[Range].[Total Qty Produced].&amp;[824]"/>
            <x15:cachedUniqueName index="9" name="[Range].[Total Qty Produced].&amp;[903]"/>
            <x15:cachedUniqueName index="10" name="[Range].[Total Qty Produced].&amp;[1040]"/>
            <x15:cachedUniqueName index="11" name="[Range].[Total Qty Produced].&amp;[1140]"/>
            <x15:cachedUniqueName index="12" name="[Range].[Total Qty Produced].&amp;[1498]"/>
            <x15:cachedUniqueName index="13" name="[Range].[Total Qty Produced].&amp;[1526]"/>
            <x15:cachedUniqueName index="14" name="[Range].[Total Qty Produced].&amp;[1656]"/>
            <x15:cachedUniqueName index="15" name="[Range].[Total Qty Produced].&amp;[1657]"/>
            <x15:cachedUniqueName index="16" name="[Range].[Total Qty Produced].&amp;[1856]"/>
            <x15:cachedUniqueName index="17" name="[Range].[Total Qty Produced].&amp;[2010]"/>
            <x15:cachedUniqueName index="18" name="[Range].[Total Qty Produced].&amp;[2011]"/>
            <x15:cachedUniqueName index="19" name="[Range].[Total Qty Produced].&amp;[2079]"/>
            <x15:cachedUniqueName index="20" name="[Range].[Total Qty Produced].&amp;[2286]"/>
            <x15:cachedUniqueName index="21" name="[Range].[Total Qty Produced].&amp;[2360]"/>
            <x15:cachedUniqueName index="22" name="[Range].[Total Qty Produced].&amp;[2375]"/>
            <x15:cachedUniqueName index="23" name="[Range].[Total Qty Produced].&amp;[2780]"/>
            <x15:cachedUniqueName index="24" name="[Range].[Total Qty Produced].&amp;[3615]"/>
            <x15:cachedUniqueName index="25" name="[Range].[Total Qty Produced].&amp;[3774]"/>
            <x15:cachedUniqueName index="26" name="[Range].[Total Qty Produced].&amp;[3795]"/>
          </x15:cachedUniqueNames>
        </ext>
      </extLst>
    </cacheField>
    <cacheField name="[Measures].[Sum of Total Qty Produced]" caption="Sum of Total Qty Produced" numFmtId="0" hierarchy="23" level="32767"/>
    <cacheField name="[Measures].[Sum of Total Cost]" caption="Sum of Total Cost" numFmtId="0" hierarchy="22" level="32767"/>
  </cacheFields>
  <cacheHierarchies count="27"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6 Inches Qty]" caption="6 Inches Qty" attribute="1" defaultMemberUniqueName="[Range].[6 Inches Qty].[All]" allUniqueName="[Range].[6 Inches Qty].[All]" dimensionUniqueName="[Range]" displayFolder="" count="0" memberValueDatatype="20" unbalanced="0"/>
    <cacheHierarchy uniqueName="[Range].[7 Inches Qty]" caption="7 Inches Qty" attribute="1" defaultMemberUniqueName="[Range].[7 Inches Qty].[All]" allUniqueName="[Range].[7 Inches Qty].[All]" dimensionUniqueName="[Range]" displayFolder="" count="0" memberValueDatatype="20" unbalanced="0"/>
    <cacheHierarchy uniqueName="[Range].[9 Inches Qty]" caption="9 Inches Qty" attribute="1" defaultMemberUniqueName="[Range].[9 Inches Qty].[All]" allUniqueName="[Range].[9 Inches Qty].[All]" dimensionUniqueName="[Range]" displayFolder="" count="0" memberValueDatatype="20" unbalanced="0"/>
    <cacheHierarchy uniqueName="[Range].[Total Qty Produced]" caption="Total Qty Produced" attribute="1" defaultMemberUniqueName="[Range].[Total Qty Produced].[All]" allUniqueName="[Range].[Total Qty Produced].[All]" dimensionUniqueName="[Range]" displayFolder="" count="2" memberValueDatatype="20" unbalanced="0">
      <fieldsUsage count="2">
        <fieldUsage x="-1"/>
        <fieldUsage x="2"/>
      </fieldsUsage>
    </cacheHierarchy>
    <cacheHierarchy uniqueName="[Range].[Total Qty Sold]" caption="Total Qty Sold" attribute="1" defaultMemberUniqueName="[Range].[Total Qty Sold].[All]" allUniqueName="[Range].[Total Qty Sold].[All]" dimensionUniqueName="[Range]" displayFolder="" count="0" memberValueDatatype="20" unbalanced="0"/>
    <cacheHierarchy uniqueName="[Range].[Tons Of Sand]" caption="Tons Of Sand" attribute="1" defaultMemberUniqueName="[Range].[Tons Of Sand].[All]" allUniqueName="[Range].[Tons Of Sand].[All]" dimensionUniqueName="[Range]" displayFolder="" count="0" memberValueDatatype="20" unbalanced="0"/>
    <cacheHierarchy uniqueName="[Range].[Bags of Cement]" caption="Bags of Cement" attribute="1" defaultMemberUniqueName="[Range].[Bags of Cement].[All]" allUniqueName="[Range].[Bags of Cement].[All]" dimensionUniqueName="[Range]" displayFolder="" count="0" memberValueDatatype="20" unbalanced="0"/>
    <cacheHierarchy uniqueName="[Range].[Bag Produced]" caption="Bag Produced" attribute="1" defaultMemberUniqueName="[Range].[Bag Produced].[All]" allUniqueName="[Range].[Bag Produced].[All]" dimensionUniqueName="[Range]" displayFolder="" count="0" memberValueDatatype="20" unbalanced="0"/>
    <cacheHierarchy uniqueName="[Range].[Ltr. Of Fuel]" caption="Ltr. Of Fuel" attribute="1" defaultMemberUniqueName="[Range].[Ltr. Of Fuel].[All]" allUniqueName="[Range].[Ltr. Of Fuel].[All]" dimensionUniqueName="[Range]" displayFolder="" count="0" memberValueDatatype="20" unbalanced="0"/>
    <cacheHierarchy uniqueName="[Range].[Sand Cost]" caption="Sand Cost" attribute="1" defaultMemberUniqueName="[Range].[Sand Cost].[All]" allUniqueName="[Range].[Sand Cost].[All]" dimensionUniqueName="[Range]" displayFolder="" count="0" memberValueDatatype="20" unbalanced="0"/>
    <cacheHierarchy uniqueName="[Range].[Cement Cost]" caption="Cement Cost" attribute="1" defaultMemberUniqueName="[Range].[Cement Cost].[All]" allUniqueName="[Range].[Cement Cost].[All]" dimensionUniqueName="[Range]" displayFolder="" count="0" memberValueDatatype="20" unbalanced="0"/>
    <cacheHierarchy uniqueName="[Range].[Operators' Payment]" caption="Operators' Payment" attribute="1" defaultMemberUniqueName="[Range].[Operators' Payment].[All]" allUniqueName="[Range].[Operators' Payment].[All]" dimensionUniqueName="[Range]" displayFolder="" count="0" memberValueDatatype="20" unbalanced="0"/>
    <cacheHierarchy uniqueName="[Range].[Fuel Cost]" caption="Fuel Cost" attribute="1" defaultMemberUniqueName="[Range].[Fuel Cost].[All]" allUniqueName="[Range].[Fuel Cost].[All]" dimensionUniqueName="[Range]" displayFolder="" count="0" memberValueDatatype="20" unbalanced="0"/>
    <cacheHierarchy uniqueName="[Range].[Maintenance]" caption="Maintenance" attribute="1" defaultMemberUniqueName="[Range].[Maintenance].[All]" allUniqueName="[Range].[Maintenance].[All]" dimensionUniqueName="[Range]" displayFolder="" count="0" memberValueDatatype="20" unbalanced="0"/>
    <cacheHierarchy uniqueName="[Range].[Delivery Cost]" caption="Delivery Cost" attribute="1" defaultMemberUniqueName="[Range].[Delivery Cost].[All]" allUniqueName="[Range].[Delivery Cost].[All]" dimensionUniqueName="[Range]" displayFolder="" count="0" memberValueDatatype="20" unbalanced="0"/>
    <cacheHierarchy uniqueName="[Range].[Total Revenue]" caption="Total Revenue" attribute="1" defaultMemberUniqueName="[Range].[Total Revenue].[All]" allUniqueName="[Range].[Total Revenue].[All]" dimensionUniqueName="[Range]" displayFolder="" count="0" memberValueDatatype="20" unbalanced="0"/>
    <cacheHierarchy uniqueName="[Range].[Total Cost]" caption="Total Cost" attribute="1" defaultMemberUniqueName="[Range].[Total Cost].[All]" allUniqueName="[Range].[Total Cost].[All]" dimensionUniqueName="[Range]" displayFolder="" count="0" memberValueDatatype="20" unbalanced="0"/>
    <cacheHierarchy uniqueName="[Range].[Total Profit]" caption="Total Profit" attribute="1" defaultMemberUniqueName="[Range].[Total Profit].[All]" allUniqueName="[Range].[Total Profit].[All]" dimensionUniqueName="[Range]" displayFolder="" count="0" memberValueDatatype="20" unbalanced="0"/>
    <cacheHierarchy uniqueName="[Range].[Bad Debt]" caption="Bad Debt" attribute="1" defaultMemberUniqueName="[Range].[Bad Debt].[All]" allUniqueName="[Range].[Bad Debt].[All]" dimensionUniqueName="[Range]" displayFolder="" count="0" memberValueDatatype="20" unbalanced="0"/>
    <cacheHierarchy uniqueName="[Range].[MONTHLY]" caption="MONTHLY" attribute="1" defaultMemberUniqueName="[Range].[MONTHLY].[All]" allUniqueName="[Range].[MONTHLY].[All]" dimensionUniqueName="[Range]" displayFolder="" count="2" memberValueDatatype="130" unbalanced="0">
      <fieldsUsage count="2">
        <fieldUsage x="-1"/>
        <fieldUsage x="1"/>
      </fieldsUsage>
    </cacheHierarchy>
    <cacheHierarchy uniqueName="[Range].[ANUALLY]" caption="ANUALLY" attribute="1" defaultMemberUniqueName="[Range].[ANUALLY].[All]" allUniqueName="[Range].[ANUALLY].[All]" dimensionUniqueName="[Range]" displayFolder="" count="2" memberValueDatatype="20" unbalanced="0">
      <fieldsUsage count="2">
        <fieldUsage x="-1"/>
        <fieldUsage x="0"/>
      </fieldsUsage>
    </cacheHierarchy>
    <cacheHierarchy uniqueName="[Measures].[Sum of Total Cost]" caption="Sum of Total Cost" measure="1" displayFolder="" measureGroup="Range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otal Qty Produced]" caption="Sum of Total Qty Produced" measure="1" displayFolder="" measureGroup="Range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6 Inches Qty]" caption="Sum of 6 Inches Qty" measure="1" displayFolder="" measureGroup="Range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__XL_Count Range]" caption="__XL_Count Range" measure="1" displayFolder="" measureGroup="Range" count="0" hidden="1"/>
    <cacheHierarchy uniqueName="[Measures].[__XL_Count of Models]" caption="__XL_Count of Models" measure="1" displayFolder="" count="0" hidden="1"/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8">
  <r>
    <x v="0"/>
    <x v="0"/>
    <x v="0"/>
    <n v="224"/>
    <n v="250"/>
    <n v="56000"/>
    <m/>
    <n v="56000"/>
    <x v="0"/>
    <x v="0"/>
    <x v="0"/>
  </r>
  <r>
    <x v="1"/>
    <x v="1"/>
    <x v="1"/>
    <n v="300"/>
    <n v="260"/>
    <n v="78000"/>
    <m/>
    <n v="78000"/>
    <x v="1"/>
    <x v="0"/>
    <x v="0"/>
  </r>
  <r>
    <x v="2"/>
    <x v="2"/>
    <x v="2"/>
    <n v="250"/>
    <n v="295"/>
    <n v="73750"/>
    <m/>
    <n v="73750"/>
    <x v="0"/>
    <x v="0"/>
    <x v="0"/>
  </r>
  <r>
    <x v="3"/>
    <x v="2"/>
    <x v="0"/>
    <n v="500"/>
    <n v="265"/>
    <n v="132500"/>
    <m/>
    <n v="132500"/>
    <x v="2"/>
    <x v="0"/>
    <x v="0"/>
  </r>
  <r>
    <x v="4"/>
    <x v="3"/>
    <x v="0"/>
    <n v="400"/>
    <n v="260"/>
    <n v="104000"/>
    <n v="1000"/>
    <n v="103000"/>
    <x v="3"/>
    <x v="1"/>
    <x v="0"/>
  </r>
  <r>
    <x v="5"/>
    <x v="1"/>
    <x v="1"/>
    <n v="150"/>
    <n v="275"/>
    <n v="41250"/>
    <n v="250"/>
    <n v="41000"/>
    <x v="4"/>
    <x v="1"/>
    <x v="0"/>
  </r>
  <r>
    <x v="6"/>
    <x v="4"/>
    <x v="0"/>
    <n v="12"/>
    <n v="270"/>
    <n v="3240"/>
    <n v="140"/>
    <n v="3100"/>
    <x v="0"/>
    <x v="1"/>
    <x v="0"/>
  </r>
  <r>
    <x v="7"/>
    <x v="5"/>
    <x v="0"/>
    <n v="150"/>
    <n v="260"/>
    <n v="39000"/>
    <m/>
    <n v="39000"/>
    <x v="3"/>
    <x v="1"/>
    <x v="0"/>
  </r>
  <r>
    <x v="8"/>
    <x v="6"/>
    <x v="0"/>
    <n v="25"/>
    <n v="250"/>
    <n v="6250"/>
    <m/>
    <n v="6250"/>
    <x v="3"/>
    <x v="1"/>
    <x v="0"/>
  </r>
  <r>
    <x v="9"/>
    <x v="7"/>
    <x v="1"/>
    <n v="400"/>
    <n v="280"/>
    <n v="112000"/>
    <m/>
    <n v="112000"/>
    <x v="1"/>
    <x v="1"/>
    <x v="0"/>
  </r>
  <r>
    <x v="10"/>
    <x v="8"/>
    <x v="0"/>
    <n v="4"/>
    <n v="250"/>
    <n v="1000"/>
    <m/>
    <n v="1000"/>
    <x v="0"/>
    <x v="1"/>
    <x v="0"/>
  </r>
  <r>
    <x v="11"/>
    <x v="6"/>
    <x v="2"/>
    <n v="130"/>
    <n v="300"/>
    <n v="39000"/>
    <m/>
    <n v="39000"/>
    <x v="5"/>
    <x v="1"/>
    <x v="0"/>
  </r>
  <r>
    <x v="12"/>
    <x v="9"/>
    <x v="2"/>
    <n v="12"/>
    <n v="300"/>
    <n v="3600"/>
    <m/>
    <n v="3600"/>
    <x v="2"/>
    <x v="1"/>
    <x v="0"/>
  </r>
  <r>
    <x v="13"/>
    <x v="10"/>
    <x v="0"/>
    <n v="2"/>
    <n v="300"/>
    <n v="600"/>
    <m/>
    <n v="600"/>
    <x v="5"/>
    <x v="2"/>
    <x v="0"/>
  </r>
  <r>
    <x v="14"/>
    <x v="7"/>
    <x v="1"/>
    <n v="50"/>
    <n v="330"/>
    <n v="16500"/>
    <m/>
    <n v="16500"/>
    <x v="0"/>
    <x v="2"/>
    <x v="0"/>
  </r>
  <r>
    <x v="15"/>
    <x v="7"/>
    <x v="1"/>
    <n v="50"/>
    <n v="330"/>
    <n v="16500"/>
    <m/>
    <n v="16500"/>
    <x v="0"/>
    <x v="2"/>
    <x v="0"/>
  </r>
  <r>
    <x v="16"/>
    <x v="1"/>
    <x v="1"/>
    <n v="500"/>
    <n v="320"/>
    <n v="160000"/>
    <m/>
    <n v="160000"/>
    <x v="4"/>
    <x v="2"/>
    <x v="0"/>
  </r>
  <r>
    <x v="17"/>
    <x v="1"/>
    <x v="1"/>
    <n v="200"/>
    <n v="320"/>
    <n v="64000"/>
    <m/>
    <n v="64000"/>
    <x v="2"/>
    <x v="2"/>
    <x v="0"/>
  </r>
  <r>
    <x v="18"/>
    <x v="1"/>
    <x v="1"/>
    <n v="200"/>
    <n v="320"/>
    <n v="64000"/>
    <m/>
    <n v="64000"/>
    <x v="4"/>
    <x v="3"/>
    <x v="0"/>
  </r>
  <r>
    <x v="19"/>
    <x v="1"/>
    <x v="1"/>
    <n v="500"/>
    <n v="320"/>
    <n v="160000"/>
    <m/>
    <n v="160000"/>
    <x v="5"/>
    <x v="3"/>
    <x v="0"/>
  </r>
  <r>
    <x v="19"/>
    <x v="11"/>
    <x v="2"/>
    <n v="700"/>
    <n v="340"/>
    <n v="238000"/>
    <m/>
    <n v="238000"/>
    <x v="5"/>
    <x v="3"/>
    <x v="0"/>
  </r>
  <r>
    <x v="20"/>
    <x v="12"/>
    <x v="2"/>
    <n v="100"/>
    <n v="400"/>
    <n v="40000"/>
    <m/>
    <n v="40000"/>
    <x v="0"/>
    <x v="3"/>
    <x v="0"/>
  </r>
  <r>
    <x v="20"/>
    <x v="12"/>
    <x v="1"/>
    <n v="60"/>
    <n v="330"/>
    <n v="19800"/>
    <m/>
    <n v="19800"/>
    <x v="0"/>
    <x v="3"/>
    <x v="0"/>
  </r>
  <r>
    <x v="21"/>
    <x v="13"/>
    <x v="0"/>
    <n v="16"/>
    <n v="300"/>
    <n v="4800"/>
    <n v="4300"/>
    <n v="500"/>
    <x v="2"/>
    <x v="4"/>
    <x v="0"/>
  </r>
  <r>
    <x v="22"/>
    <x v="1"/>
    <x v="1"/>
    <n v="60"/>
    <n v="320"/>
    <n v="19200"/>
    <m/>
    <n v="19200"/>
    <x v="5"/>
    <x v="4"/>
    <x v="0"/>
  </r>
  <r>
    <x v="23"/>
    <x v="1"/>
    <x v="1"/>
    <n v="250"/>
    <n v="320"/>
    <n v="80000"/>
    <m/>
    <n v="80000"/>
    <x v="2"/>
    <x v="4"/>
    <x v="0"/>
  </r>
  <r>
    <x v="24"/>
    <x v="14"/>
    <x v="0"/>
    <n v="50"/>
    <n v="300"/>
    <n v="15000"/>
    <m/>
    <n v="15000"/>
    <x v="3"/>
    <x v="4"/>
    <x v="0"/>
  </r>
  <r>
    <x v="25"/>
    <x v="15"/>
    <x v="2"/>
    <n v="400"/>
    <n v="320"/>
    <n v="128000"/>
    <m/>
    <n v="128000"/>
    <x v="4"/>
    <x v="5"/>
    <x v="0"/>
  </r>
  <r>
    <x v="26"/>
    <x v="1"/>
    <x v="1"/>
    <n v="150"/>
    <n v="320"/>
    <n v="48000"/>
    <m/>
    <n v="48000"/>
    <x v="5"/>
    <x v="5"/>
    <x v="0"/>
  </r>
  <r>
    <x v="27"/>
    <x v="16"/>
    <x v="0"/>
    <n v="16"/>
    <n v="300"/>
    <n v="4800"/>
    <m/>
    <n v="4800"/>
    <x v="0"/>
    <x v="5"/>
    <x v="0"/>
  </r>
  <r>
    <x v="28"/>
    <x v="14"/>
    <x v="0"/>
    <n v="80"/>
    <n v="300"/>
    <n v="24000"/>
    <m/>
    <n v="24000"/>
    <x v="2"/>
    <x v="5"/>
    <x v="0"/>
  </r>
  <r>
    <x v="29"/>
    <x v="14"/>
    <x v="0"/>
    <n v="40"/>
    <n v="300"/>
    <n v="12000"/>
    <m/>
    <n v="12000"/>
    <x v="3"/>
    <x v="5"/>
    <x v="0"/>
  </r>
  <r>
    <x v="30"/>
    <x v="14"/>
    <x v="0"/>
    <n v="20"/>
    <n v="300"/>
    <n v="6000"/>
    <m/>
    <n v="6000"/>
    <x v="0"/>
    <x v="5"/>
    <x v="0"/>
  </r>
  <r>
    <x v="31"/>
    <x v="3"/>
    <x v="0"/>
    <n v="500"/>
    <n v="330"/>
    <n v="165000"/>
    <n v="5000"/>
    <n v="160000"/>
    <x v="0"/>
    <x v="6"/>
    <x v="0"/>
  </r>
  <r>
    <x v="32"/>
    <x v="17"/>
    <x v="0"/>
    <n v="100"/>
    <n v="300"/>
    <n v="30000"/>
    <m/>
    <n v="30000"/>
    <x v="1"/>
    <x v="6"/>
    <x v="0"/>
  </r>
  <r>
    <x v="33"/>
    <x v="18"/>
    <x v="2"/>
    <n v="3800"/>
    <n v="350"/>
    <n v="1330000"/>
    <m/>
    <n v="1330000"/>
    <x v="4"/>
    <x v="7"/>
    <x v="0"/>
  </r>
  <r>
    <x v="33"/>
    <x v="18"/>
    <x v="0"/>
    <n v="800"/>
    <n v="330"/>
    <n v="264000"/>
    <m/>
    <n v="264000"/>
    <x v="4"/>
    <x v="7"/>
    <x v="0"/>
  </r>
  <r>
    <x v="34"/>
    <x v="17"/>
    <x v="0"/>
    <n v="100"/>
    <n v="300"/>
    <n v="30000"/>
    <m/>
    <n v="30000"/>
    <x v="4"/>
    <x v="8"/>
    <x v="0"/>
  </r>
  <r>
    <x v="35"/>
    <x v="19"/>
    <x v="0"/>
    <n v="16"/>
    <n v="330"/>
    <n v="5280"/>
    <m/>
    <n v="5280"/>
    <x v="0"/>
    <x v="8"/>
    <x v="0"/>
  </r>
  <r>
    <x v="36"/>
    <x v="18"/>
    <x v="2"/>
    <n v="50"/>
    <n v="350"/>
    <n v="17500"/>
    <n v="17500"/>
    <n v="0"/>
    <x v="2"/>
    <x v="8"/>
    <x v="0"/>
  </r>
  <r>
    <x v="36"/>
    <x v="18"/>
    <x v="1"/>
    <n v="220"/>
    <n v="340"/>
    <n v="74800"/>
    <m/>
    <n v="74800"/>
    <x v="2"/>
    <x v="8"/>
    <x v="0"/>
  </r>
  <r>
    <x v="37"/>
    <x v="18"/>
    <x v="0"/>
    <n v="450"/>
    <n v="330"/>
    <n v="148500"/>
    <m/>
    <n v="148500"/>
    <x v="1"/>
    <x v="8"/>
    <x v="0"/>
  </r>
  <r>
    <x v="37"/>
    <x v="18"/>
    <x v="2"/>
    <n v="60"/>
    <n v="350"/>
    <n v="21000"/>
    <m/>
    <n v="21000"/>
    <x v="1"/>
    <x v="8"/>
    <x v="0"/>
  </r>
  <r>
    <x v="38"/>
    <x v="20"/>
    <x v="0"/>
    <n v="8"/>
    <n v="350"/>
    <n v="2800"/>
    <m/>
    <n v="2800"/>
    <x v="2"/>
    <x v="8"/>
    <x v="0"/>
  </r>
  <r>
    <x v="39"/>
    <x v="14"/>
    <x v="0"/>
    <n v="40"/>
    <n v="320"/>
    <n v="12800"/>
    <m/>
    <n v="12800"/>
    <x v="3"/>
    <x v="8"/>
    <x v="0"/>
  </r>
  <r>
    <x v="39"/>
    <x v="14"/>
    <x v="2"/>
    <n v="10"/>
    <n v="350"/>
    <n v="3500"/>
    <n v="700"/>
    <n v="2800"/>
    <x v="3"/>
    <x v="8"/>
    <x v="0"/>
  </r>
  <r>
    <x v="40"/>
    <x v="21"/>
    <x v="1"/>
    <n v="400"/>
    <n v="370"/>
    <n v="148000"/>
    <n v="8000"/>
    <n v="140000"/>
    <x v="5"/>
    <x v="9"/>
    <x v="0"/>
  </r>
  <r>
    <x v="40"/>
    <x v="18"/>
    <x v="0"/>
    <n v="170"/>
    <n v="330"/>
    <n v="56100"/>
    <m/>
    <n v="56100"/>
    <x v="5"/>
    <x v="9"/>
    <x v="0"/>
  </r>
  <r>
    <x v="40"/>
    <x v="18"/>
    <x v="1"/>
    <n v="70"/>
    <n v="340"/>
    <n v="23800"/>
    <m/>
    <n v="23800"/>
    <x v="5"/>
    <x v="9"/>
    <x v="0"/>
  </r>
  <r>
    <x v="40"/>
    <x v="18"/>
    <x v="2"/>
    <n v="90"/>
    <n v="350"/>
    <n v="31500"/>
    <m/>
    <n v="31500"/>
    <x v="5"/>
    <x v="9"/>
    <x v="0"/>
  </r>
  <r>
    <x v="40"/>
    <x v="22"/>
    <x v="2"/>
    <n v="150"/>
    <n v="390"/>
    <n v="58500"/>
    <m/>
    <n v="58500"/>
    <x v="5"/>
    <x v="9"/>
    <x v="0"/>
  </r>
  <r>
    <x v="41"/>
    <x v="23"/>
    <x v="0"/>
    <n v="300"/>
    <n v="350"/>
    <n v="105000"/>
    <m/>
    <n v="105000"/>
    <x v="3"/>
    <x v="9"/>
    <x v="0"/>
  </r>
  <r>
    <x v="42"/>
    <x v="24"/>
    <x v="2"/>
    <n v="400"/>
    <n v="380"/>
    <n v="152000"/>
    <m/>
    <n v="152000"/>
    <x v="5"/>
    <x v="9"/>
    <x v="0"/>
  </r>
  <r>
    <x v="43"/>
    <x v="24"/>
    <x v="0"/>
    <n v="500"/>
    <n v="330"/>
    <n v="165000"/>
    <m/>
    <n v="165000"/>
    <x v="2"/>
    <x v="9"/>
    <x v="0"/>
  </r>
  <r>
    <x v="44"/>
    <x v="24"/>
    <x v="0"/>
    <n v="200"/>
    <n v="330"/>
    <n v="66000"/>
    <m/>
    <n v="66000"/>
    <x v="3"/>
    <x v="9"/>
    <x v="0"/>
  </r>
  <r>
    <x v="44"/>
    <x v="24"/>
    <x v="2"/>
    <n v="300"/>
    <n v="380"/>
    <n v="114000"/>
    <m/>
    <n v="114000"/>
    <x v="3"/>
    <x v="9"/>
    <x v="0"/>
  </r>
  <r>
    <x v="44"/>
    <x v="25"/>
    <x v="0"/>
    <n v="200"/>
    <n v="300"/>
    <n v="60000"/>
    <n v="40000"/>
    <n v="20000"/>
    <x v="3"/>
    <x v="9"/>
    <x v="0"/>
  </r>
  <r>
    <x v="45"/>
    <x v="24"/>
    <x v="0"/>
    <n v="300"/>
    <n v="330"/>
    <n v="99000"/>
    <m/>
    <n v="99000"/>
    <x v="4"/>
    <x v="9"/>
    <x v="0"/>
  </r>
  <r>
    <x v="45"/>
    <x v="24"/>
    <x v="2"/>
    <n v="280"/>
    <n v="380"/>
    <n v="106400"/>
    <m/>
    <n v="106400"/>
    <x v="4"/>
    <x v="9"/>
    <x v="0"/>
  </r>
  <r>
    <x v="46"/>
    <x v="22"/>
    <x v="2"/>
    <n v="100"/>
    <n v="390"/>
    <n v="39000"/>
    <m/>
    <n v="39000"/>
    <x v="2"/>
    <x v="9"/>
    <x v="0"/>
  </r>
  <r>
    <x v="47"/>
    <x v="24"/>
    <x v="0"/>
    <n v="150"/>
    <n v="330"/>
    <n v="49500"/>
    <m/>
    <n v="49500"/>
    <x v="1"/>
    <x v="10"/>
    <x v="0"/>
  </r>
  <r>
    <x v="48"/>
    <x v="26"/>
    <x v="2"/>
    <n v="600"/>
    <n v="380"/>
    <n v="228000"/>
    <m/>
    <n v="228000"/>
    <x v="5"/>
    <x v="10"/>
    <x v="0"/>
  </r>
  <r>
    <x v="49"/>
    <x v="27"/>
    <x v="0"/>
    <n v="150"/>
    <n v="350"/>
    <n v="52500"/>
    <m/>
    <n v="52500"/>
    <x v="2"/>
    <x v="10"/>
    <x v="0"/>
  </r>
  <r>
    <x v="50"/>
    <x v="27"/>
    <x v="0"/>
    <n v="100"/>
    <n v="350"/>
    <n v="35000"/>
    <m/>
    <n v="35000"/>
    <x v="3"/>
    <x v="10"/>
    <x v="0"/>
  </r>
  <r>
    <x v="51"/>
    <x v="22"/>
    <x v="2"/>
    <n v="150"/>
    <n v="400"/>
    <n v="60000"/>
    <m/>
    <n v="60000"/>
    <x v="3"/>
    <x v="10"/>
    <x v="0"/>
  </r>
  <r>
    <x v="52"/>
    <x v="28"/>
    <x v="0"/>
    <n v="19"/>
    <n v="370"/>
    <n v="7030"/>
    <n v="30"/>
    <n v="7000"/>
    <x v="1"/>
    <x v="11"/>
    <x v="0"/>
  </r>
  <r>
    <x v="53"/>
    <x v="29"/>
    <x v="0"/>
    <n v="200"/>
    <n v="370"/>
    <n v="74000"/>
    <m/>
    <n v="74000"/>
    <x v="5"/>
    <x v="11"/>
    <x v="0"/>
  </r>
  <r>
    <x v="54"/>
    <x v="18"/>
    <x v="1"/>
    <n v="130"/>
    <n v="380"/>
    <n v="49400"/>
    <m/>
    <n v="49400"/>
    <x v="4"/>
    <x v="11"/>
    <x v="0"/>
  </r>
  <r>
    <x v="54"/>
    <x v="29"/>
    <x v="0"/>
    <n v="300"/>
    <n v="370"/>
    <n v="111000"/>
    <m/>
    <n v="111000"/>
    <x v="4"/>
    <x v="11"/>
    <x v="0"/>
  </r>
  <r>
    <x v="54"/>
    <x v="29"/>
    <x v="2"/>
    <n v="300"/>
    <n v="400"/>
    <n v="120000"/>
    <m/>
    <n v="120000"/>
    <x v="4"/>
    <x v="11"/>
    <x v="0"/>
  </r>
  <r>
    <x v="55"/>
    <x v="30"/>
    <x v="1"/>
    <n v="30"/>
    <n v="390"/>
    <n v="11700"/>
    <n v="200"/>
    <n v="11500"/>
    <x v="6"/>
    <x v="11"/>
    <x v="0"/>
  </r>
  <r>
    <x v="56"/>
    <x v="29"/>
    <x v="0"/>
    <n v="100"/>
    <n v="370"/>
    <n v="37000"/>
    <m/>
    <n v="37000"/>
    <x v="3"/>
    <x v="11"/>
    <x v="0"/>
  </r>
  <r>
    <x v="57"/>
    <x v="29"/>
    <x v="0"/>
    <n v="200"/>
    <n v="370"/>
    <n v="74000"/>
    <m/>
    <n v="74000"/>
    <x v="1"/>
    <x v="11"/>
    <x v="0"/>
  </r>
  <r>
    <x v="58"/>
    <x v="31"/>
    <x v="2"/>
    <n v="50"/>
    <n v="400"/>
    <n v="20000"/>
    <m/>
    <n v="20000"/>
    <x v="5"/>
    <x v="11"/>
    <x v="0"/>
  </r>
  <r>
    <x v="59"/>
    <x v="29"/>
    <x v="0"/>
    <n v="30"/>
    <n v="370"/>
    <n v="11100"/>
    <m/>
    <n v="11100"/>
    <x v="6"/>
    <x v="11"/>
    <x v="0"/>
  </r>
  <r>
    <x v="59"/>
    <x v="32"/>
    <x v="2"/>
    <n v="75"/>
    <n v="360"/>
    <n v="27000"/>
    <m/>
    <n v="27000"/>
    <x v="6"/>
    <x v="11"/>
    <x v="0"/>
  </r>
  <r>
    <x v="60"/>
    <x v="18"/>
    <x v="1"/>
    <n v="100"/>
    <n v="380"/>
    <n v="38000"/>
    <m/>
    <n v="38000"/>
    <x v="2"/>
    <x v="11"/>
    <x v="0"/>
  </r>
  <r>
    <x v="61"/>
    <x v="33"/>
    <x v="0"/>
    <n v="300"/>
    <n v="350"/>
    <n v="105000"/>
    <m/>
    <n v="105000"/>
    <x v="1"/>
    <x v="0"/>
    <x v="1"/>
  </r>
  <r>
    <x v="62"/>
    <x v="32"/>
    <x v="2"/>
    <n v="34"/>
    <n v="360"/>
    <n v="12240"/>
    <m/>
    <n v="12240"/>
    <x v="4"/>
    <x v="0"/>
    <x v="1"/>
  </r>
  <r>
    <x v="63"/>
    <x v="33"/>
    <x v="2"/>
    <n v="100"/>
    <n v="390"/>
    <n v="39000"/>
    <m/>
    <n v="39000"/>
    <x v="2"/>
    <x v="0"/>
    <x v="1"/>
  </r>
  <r>
    <x v="64"/>
    <x v="33"/>
    <x v="0"/>
    <n v="100"/>
    <n v="350"/>
    <n v="35000"/>
    <m/>
    <n v="35000"/>
    <x v="1"/>
    <x v="0"/>
    <x v="1"/>
  </r>
  <r>
    <x v="65"/>
    <x v="34"/>
    <x v="0"/>
    <n v="16"/>
    <n v="380"/>
    <n v="6080"/>
    <m/>
    <n v="6080"/>
    <x v="5"/>
    <x v="0"/>
    <x v="1"/>
  </r>
  <r>
    <x v="66"/>
    <x v="35"/>
    <x v="2"/>
    <n v="400"/>
    <n v="385"/>
    <n v="154000"/>
    <m/>
    <n v="154000"/>
    <x v="3"/>
    <x v="0"/>
    <x v="1"/>
  </r>
  <r>
    <x v="67"/>
    <x v="36"/>
    <x v="2"/>
    <n v="60"/>
    <n v="410"/>
    <n v="24600"/>
    <n v="100"/>
    <n v="24500"/>
    <x v="5"/>
    <x v="2"/>
    <x v="1"/>
  </r>
  <r>
    <x v="68"/>
    <x v="37"/>
    <x v="2"/>
    <n v="1000"/>
    <n v="400"/>
    <n v="400000"/>
    <m/>
    <n v="400000"/>
    <x v="2"/>
    <x v="2"/>
    <x v="1"/>
  </r>
  <r>
    <x v="68"/>
    <x v="38"/>
    <x v="0"/>
    <n v="16"/>
    <n v="350"/>
    <n v="5600"/>
    <m/>
    <n v="5600"/>
    <x v="2"/>
    <x v="2"/>
    <x v="1"/>
  </r>
  <r>
    <x v="69"/>
    <x v="39"/>
    <x v="0"/>
    <n v="15"/>
    <n v="350"/>
    <n v="5250"/>
    <m/>
    <n v="5250"/>
    <x v="1"/>
    <x v="2"/>
    <x v="1"/>
  </r>
  <r>
    <x v="70"/>
    <x v="40"/>
    <x v="0"/>
    <n v="25"/>
    <n v="350"/>
    <n v="8750"/>
    <m/>
    <n v="8750"/>
    <x v="4"/>
    <x v="2"/>
    <x v="1"/>
  </r>
  <r>
    <x v="71"/>
    <x v="37"/>
    <x v="2"/>
    <n v="300"/>
    <n v="400"/>
    <n v="120000"/>
    <m/>
    <n v="120000"/>
    <x v="5"/>
    <x v="2"/>
    <x v="1"/>
  </r>
  <r>
    <x v="72"/>
    <x v="37"/>
    <x v="2"/>
    <n v="200"/>
    <n v="400"/>
    <n v="80000"/>
    <m/>
    <n v="80000"/>
    <x v="4"/>
    <x v="2"/>
    <x v="1"/>
  </r>
  <r>
    <x v="73"/>
    <x v="37"/>
    <x v="2"/>
    <n v="100"/>
    <n v="400"/>
    <n v="40000"/>
    <m/>
    <n v="40000"/>
    <x v="0"/>
    <x v="3"/>
    <x v="1"/>
  </r>
  <r>
    <x v="74"/>
    <x v="41"/>
    <x v="0"/>
    <n v="16"/>
    <n v="340"/>
    <n v="5440"/>
    <m/>
    <n v="5440"/>
    <x v="1"/>
    <x v="3"/>
    <x v="1"/>
  </r>
  <r>
    <x v="75"/>
    <x v="42"/>
    <x v="0"/>
    <n v="50"/>
    <n v="350"/>
    <n v="17500"/>
    <m/>
    <n v="17500"/>
    <x v="0"/>
    <x v="3"/>
    <x v="1"/>
  </r>
  <r>
    <x v="75"/>
    <x v="42"/>
    <x v="2"/>
    <n v="25"/>
    <n v="400"/>
    <n v="10000"/>
    <m/>
    <n v="10000"/>
    <x v="0"/>
    <x v="3"/>
    <x v="1"/>
  </r>
  <r>
    <x v="76"/>
    <x v="43"/>
    <x v="0"/>
    <n v="40"/>
    <n v="350"/>
    <n v="14000"/>
    <m/>
    <n v="14000"/>
    <x v="2"/>
    <x v="3"/>
    <x v="1"/>
  </r>
  <r>
    <x v="77"/>
    <x v="44"/>
    <x v="0"/>
    <n v="200"/>
    <n v="360"/>
    <n v="72000"/>
    <m/>
    <n v="72000"/>
    <x v="3"/>
    <x v="3"/>
    <x v="1"/>
  </r>
  <r>
    <x v="77"/>
    <x v="41"/>
    <x v="0"/>
    <n v="400"/>
    <n v="330"/>
    <n v="132000"/>
    <m/>
    <n v="132000"/>
    <x v="3"/>
    <x v="3"/>
    <x v="1"/>
  </r>
  <r>
    <x v="78"/>
    <x v="1"/>
    <x v="1"/>
    <n v="2500"/>
    <n v="302"/>
    <n v="755000"/>
    <n v="50000"/>
    <n v="705000"/>
    <x v="1"/>
    <x v="3"/>
    <x v="1"/>
  </r>
  <r>
    <x v="79"/>
    <x v="45"/>
    <x v="2"/>
    <n v="50"/>
    <n v="400"/>
    <n v="20000"/>
    <m/>
    <n v="20000"/>
    <x v="0"/>
    <x v="3"/>
    <x v="1"/>
  </r>
  <r>
    <x v="80"/>
    <x v="46"/>
    <x v="0"/>
    <n v="400"/>
    <n v="350"/>
    <n v="140000"/>
    <m/>
    <n v="140000"/>
    <x v="3"/>
    <x v="4"/>
    <x v="1"/>
  </r>
  <r>
    <x v="81"/>
    <x v="47"/>
    <x v="0"/>
    <n v="50"/>
    <n v="380"/>
    <n v="19000"/>
    <m/>
    <n v="19000"/>
    <x v="2"/>
    <x v="4"/>
    <x v="1"/>
  </r>
  <r>
    <x v="82"/>
    <x v="48"/>
    <x v="2"/>
    <n v="315"/>
    <n v="350"/>
    <n v="110250"/>
    <m/>
    <n v="110250"/>
    <x v="3"/>
    <x v="4"/>
    <x v="1"/>
  </r>
  <r>
    <x v="83"/>
    <x v="48"/>
    <x v="2"/>
    <n v="277"/>
    <n v="350"/>
    <n v="96950"/>
    <m/>
    <n v="96950"/>
    <x v="1"/>
    <x v="4"/>
    <x v="1"/>
  </r>
  <r>
    <x v="83"/>
    <x v="3"/>
    <x v="0"/>
    <n v="500"/>
    <n v="360"/>
    <n v="180000"/>
    <m/>
    <n v="180000"/>
    <x v="1"/>
    <x v="4"/>
    <x v="1"/>
  </r>
  <r>
    <x v="83"/>
    <x v="21"/>
    <x v="1"/>
    <n v="100"/>
    <n v="380"/>
    <n v="38000"/>
    <m/>
    <n v="38000"/>
    <x v="1"/>
    <x v="4"/>
    <x v="1"/>
  </r>
  <r>
    <x v="84"/>
    <x v="49"/>
    <x v="2"/>
    <n v="100"/>
    <n v="380"/>
    <n v="38000"/>
    <m/>
    <n v="38000"/>
    <x v="1"/>
    <x v="5"/>
    <x v="1"/>
  </r>
  <r>
    <x v="85"/>
    <x v="50"/>
    <x v="2"/>
    <n v="30"/>
    <n v="400"/>
    <n v="12000"/>
    <m/>
    <n v="12000"/>
    <x v="5"/>
    <x v="5"/>
    <x v="1"/>
  </r>
  <r>
    <x v="86"/>
    <x v="49"/>
    <x v="2"/>
    <n v="130"/>
    <n v="380"/>
    <n v="49400"/>
    <m/>
    <n v="49400"/>
    <x v="0"/>
    <x v="5"/>
    <x v="1"/>
  </r>
  <r>
    <x v="87"/>
    <x v="49"/>
    <x v="2"/>
    <n v="10"/>
    <n v="380"/>
    <n v="3800"/>
    <m/>
    <n v="3800"/>
    <x v="6"/>
    <x v="5"/>
    <x v="1"/>
  </r>
  <r>
    <x v="88"/>
    <x v="51"/>
    <x v="2"/>
    <n v="200"/>
    <n v="400"/>
    <n v="80000"/>
    <m/>
    <n v="80000"/>
    <x v="2"/>
    <x v="5"/>
    <x v="1"/>
  </r>
  <r>
    <x v="89"/>
    <x v="51"/>
    <x v="2"/>
    <n v="400"/>
    <n v="400"/>
    <n v="160000"/>
    <m/>
    <n v="160000"/>
    <x v="5"/>
    <x v="5"/>
    <x v="1"/>
  </r>
  <r>
    <x v="90"/>
    <x v="52"/>
    <x v="0"/>
    <n v="200"/>
    <n v="370"/>
    <n v="74000"/>
    <m/>
    <n v="74000"/>
    <x v="4"/>
    <x v="6"/>
    <x v="1"/>
  </r>
  <r>
    <x v="91"/>
    <x v="48"/>
    <x v="2"/>
    <n v="200"/>
    <n v="380"/>
    <n v="76000"/>
    <m/>
    <n v="76000"/>
    <x v="0"/>
    <x v="6"/>
    <x v="1"/>
  </r>
  <r>
    <x v="92"/>
    <x v="53"/>
    <x v="2"/>
    <n v="70"/>
    <n v="450"/>
    <n v="31500"/>
    <m/>
    <n v="31500"/>
    <x v="2"/>
    <x v="6"/>
    <x v="1"/>
  </r>
  <r>
    <x v="93"/>
    <x v="47"/>
    <x v="0"/>
    <n v="80"/>
    <n v="400"/>
    <n v="32000"/>
    <m/>
    <n v="32000"/>
    <x v="6"/>
    <x v="7"/>
    <x v="1"/>
  </r>
  <r>
    <x v="94"/>
    <x v="54"/>
    <x v="0"/>
    <n v="180"/>
    <n v="390"/>
    <n v="70200"/>
    <m/>
    <n v="70200"/>
    <x v="5"/>
    <x v="7"/>
    <x v="1"/>
  </r>
  <r>
    <x v="95"/>
    <x v="42"/>
    <x v="2"/>
    <n v="180"/>
    <n v="450"/>
    <n v="81000"/>
    <n v="1000"/>
    <n v="80000"/>
    <x v="2"/>
    <x v="7"/>
    <x v="1"/>
  </r>
  <r>
    <x v="96"/>
    <x v="45"/>
    <x v="2"/>
    <n v="500"/>
    <n v="440"/>
    <n v="220000"/>
    <m/>
    <n v="220000"/>
    <x v="4"/>
    <x v="8"/>
    <x v="1"/>
  </r>
  <r>
    <x v="96"/>
    <x v="45"/>
    <x v="0"/>
    <n v="100"/>
    <n v="400"/>
    <n v="40000"/>
    <m/>
    <n v="40000"/>
    <x v="4"/>
    <x v="8"/>
    <x v="1"/>
  </r>
  <r>
    <x v="97"/>
    <x v="55"/>
    <x v="0"/>
    <n v="8"/>
    <n v="400"/>
    <n v="3200"/>
    <m/>
    <n v="3200"/>
    <x v="0"/>
    <x v="8"/>
    <x v="1"/>
  </r>
  <r>
    <x v="98"/>
    <x v="45"/>
    <x v="0"/>
    <n v="120"/>
    <n v="400"/>
    <n v="48000"/>
    <m/>
    <n v="48000"/>
    <x v="3"/>
    <x v="8"/>
    <x v="1"/>
  </r>
  <r>
    <x v="99"/>
    <x v="45"/>
    <x v="2"/>
    <n v="800"/>
    <n v="450"/>
    <n v="360000"/>
    <m/>
    <n v="360000"/>
    <x v="2"/>
    <x v="8"/>
    <x v="1"/>
  </r>
  <r>
    <x v="100"/>
    <x v="44"/>
    <x v="0"/>
    <n v="200"/>
    <n v="400"/>
    <n v="80000"/>
    <m/>
    <n v="80000"/>
    <x v="3"/>
    <x v="8"/>
    <x v="1"/>
  </r>
  <r>
    <x v="101"/>
    <x v="56"/>
    <x v="2"/>
    <n v="150"/>
    <n v="450"/>
    <n v="67500"/>
    <m/>
    <n v="67500"/>
    <x v="4"/>
    <x v="8"/>
    <x v="1"/>
  </r>
  <r>
    <x v="101"/>
    <x v="18"/>
    <x v="2"/>
    <n v="50"/>
    <n v="450"/>
    <n v="22500"/>
    <m/>
    <n v="22500"/>
    <x v="4"/>
    <x v="8"/>
    <x v="1"/>
  </r>
  <r>
    <x v="102"/>
    <x v="57"/>
    <x v="2"/>
    <n v="300"/>
    <n v="450"/>
    <n v="135000"/>
    <m/>
    <n v="135000"/>
    <x v="2"/>
    <x v="9"/>
    <x v="1"/>
  </r>
  <r>
    <x v="102"/>
    <x v="58"/>
    <x v="0"/>
    <n v="26"/>
    <n v="430"/>
    <n v="11180"/>
    <m/>
    <n v="11180"/>
    <x v="2"/>
    <x v="9"/>
    <x v="1"/>
  </r>
  <r>
    <x v="102"/>
    <x v="37"/>
    <x v="2"/>
    <n v="50"/>
    <n v="450"/>
    <n v="22500"/>
    <m/>
    <n v="22500"/>
    <x v="2"/>
    <x v="9"/>
    <x v="1"/>
  </r>
  <r>
    <x v="103"/>
    <x v="57"/>
    <x v="2"/>
    <n v="400"/>
    <n v="460"/>
    <n v="184000"/>
    <m/>
    <n v="184000"/>
    <x v="3"/>
    <x v="9"/>
    <x v="1"/>
  </r>
  <r>
    <x v="104"/>
    <x v="59"/>
    <x v="0"/>
    <n v="175"/>
    <n v="420"/>
    <n v="73500"/>
    <n v="2150"/>
    <n v="71350"/>
    <x v="5"/>
    <x v="9"/>
    <x v="1"/>
  </r>
  <r>
    <x v="105"/>
    <x v="37"/>
    <x v="0"/>
    <n v="437"/>
    <n v="430"/>
    <n v="187910"/>
    <m/>
    <n v="187910"/>
    <x v="0"/>
    <x v="9"/>
    <x v="1"/>
  </r>
  <r>
    <x v="106"/>
    <x v="37"/>
    <x v="0"/>
    <n v="450"/>
    <n v="430"/>
    <n v="193500"/>
    <m/>
    <n v="193500"/>
    <x v="1"/>
    <x v="9"/>
    <x v="1"/>
  </r>
  <r>
    <x v="107"/>
    <x v="57"/>
    <x v="0"/>
    <n v="500"/>
    <n v="450"/>
    <n v="225000"/>
    <m/>
    <n v="225000"/>
    <x v="1"/>
    <x v="9"/>
    <x v="1"/>
  </r>
  <r>
    <x v="108"/>
    <x v="57"/>
    <x v="0"/>
    <n v="500"/>
    <n v="450"/>
    <n v="225000"/>
    <m/>
    <n v="225000"/>
    <x v="3"/>
    <x v="9"/>
    <x v="1"/>
  </r>
  <r>
    <x v="109"/>
    <x v="57"/>
    <x v="0"/>
    <n v="250"/>
    <n v="450"/>
    <n v="112500"/>
    <m/>
    <n v="112500"/>
    <x v="0"/>
    <x v="10"/>
    <x v="1"/>
  </r>
  <r>
    <x v="110"/>
    <x v="57"/>
    <x v="0"/>
    <n v="50"/>
    <n v="450"/>
    <n v="22500"/>
    <m/>
    <n v="22500"/>
    <x v="2"/>
    <x v="10"/>
    <x v="1"/>
  </r>
  <r>
    <x v="111"/>
    <x v="60"/>
    <x v="0"/>
    <n v="32"/>
    <n v="450"/>
    <n v="14400"/>
    <m/>
    <n v="14400"/>
    <x v="5"/>
    <x v="10"/>
    <x v="1"/>
  </r>
  <r>
    <x v="112"/>
    <x v="61"/>
    <x v="2"/>
    <n v="100"/>
    <n v="500"/>
    <n v="50000"/>
    <m/>
    <n v="50000"/>
    <x v="1"/>
    <x v="10"/>
    <x v="1"/>
  </r>
  <r>
    <x v="113"/>
    <x v="57"/>
    <x v="0"/>
    <n v="250"/>
    <n v="450"/>
    <n v="112500"/>
    <m/>
    <n v="112500"/>
    <x v="3"/>
    <x v="10"/>
    <x v="1"/>
  </r>
  <r>
    <x v="114"/>
    <x v="57"/>
    <x v="0"/>
    <n v="300"/>
    <n v="450"/>
    <n v="135000"/>
    <m/>
    <n v="135000"/>
    <x v="5"/>
    <x v="10"/>
    <x v="1"/>
  </r>
  <r>
    <x v="115"/>
    <x v="61"/>
    <x v="2"/>
    <n v="200"/>
    <n v="500"/>
    <n v="100000"/>
    <m/>
    <n v="100000"/>
    <x v="4"/>
    <x v="11"/>
    <x v="1"/>
  </r>
  <r>
    <x v="116"/>
    <x v="62"/>
    <x v="2"/>
    <n v="450"/>
    <n v="490"/>
    <n v="220500"/>
    <m/>
    <n v="220500"/>
    <x v="1"/>
    <x v="11"/>
    <x v="1"/>
  </r>
  <r>
    <x v="117"/>
    <x v="63"/>
    <x v="2"/>
    <n v="155"/>
    <n v="490"/>
    <n v="75950"/>
    <m/>
    <n v="75950"/>
    <x v="1"/>
    <x v="11"/>
    <x v="1"/>
  </r>
  <r>
    <x v="118"/>
    <x v="62"/>
    <x v="2"/>
    <n v="50"/>
    <n v="490"/>
    <n v="24500"/>
    <m/>
    <n v="24500"/>
    <x v="5"/>
    <x v="11"/>
    <x v="1"/>
  </r>
  <r>
    <x v="118"/>
    <x v="62"/>
    <x v="0"/>
    <n v="500"/>
    <n v="440"/>
    <n v="220000"/>
    <m/>
    <n v="220000"/>
    <x v="5"/>
    <x v="11"/>
    <x v="1"/>
  </r>
  <r>
    <x v="119"/>
    <x v="62"/>
    <x v="2"/>
    <n v="50"/>
    <n v="490"/>
    <n v="24500"/>
    <m/>
    <n v="24500"/>
    <x v="0"/>
    <x v="11"/>
    <x v="1"/>
  </r>
  <r>
    <x v="120"/>
    <x v="64"/>
    <x v="0"/>
    <n v="100"/>
    <n v="450"/>
    <n v="45000"/>
    <m/>
    <n v="45000"/>
    <x v="0"/>
    <x v="11"/>
    <x v="1"/>
  </r>
  <r>
    <x v="121"/>
    <x v="44"/>
    <x v="0"/>
    <n v="100"/>
    <n v="450"/>
    <n v="45000"/>
    <m/>
    <n v="45000"/>
    <x v="1"/>
    <x v="0"/>
    <x v="2"/>
  </r>
  <r>
    <x v="122"/>
    <x v="64"/>
    <x v="0"/>
    <n v="20"/>
    <n v="450"/>
    <n v="9000"/>
    <m/>
    <n v="9000"/>
    <x v="3"/>
    <x v="0"/>
    <x v="2"/>
  </r>
  <r>
    <x v="123"/>
    <x v="65"/>
    <x v="0"/>
    <n v="500"/>
    <n v="400"/>
    <n v="200000"/>
    <m/>
    <n v="200000"/>
    <x v="5"/>
    <x v="0"/>
    <x v="2"/>
  </r>
  <r>
    <x v="124"/>
    <x v="65"/>
    <x v="0"/>
    <n v="100"/>
    <n v="400"/>
    <n v="40000"/>
    <m/>
    <n v="40000"/>
    <x v="2"/>
    <x v="0"/>
    <x v="2"/>
  </r>
  <r>
    <x v="125"/>
    <x v="57"/>
    <x v="0"/>
    <n v="300"/>
    <n v="500"/>
    <n v="150000"/>
    <m/>
    <n v="150000"/>
    <x v="5"/>
    <x v="1"/>
    <x v="2"/>
  </r>
  <r>
    <x v="126"/>
    <x v="66"/>
    <x v="0"/>
    <n v="700"/>
    <n v="500"/>
    <n v="350000"/>
    <m/>
    <n v="350000"/>
    <x v="4"/>
    <x v="1"/>
    <x v="2"/>
  </r>
  <r>
    <x v="126"/>
    <x v="66"/>
    <x v="2"/>
    <n v="300"/>
    <n v="550"/>
    <n v="165000"/>
    <m/>
    <n v="165000"/>
    <x v="4"/>
    <x v="1"/>
    <x v="2"/>
  </r>
  <r>
    <x v="127"/>
    <x v="66"/>
    <x v="2"/>
    <n v="500"/>
    <n v="630"/>
    <n v="315000"/>
    <m/>
    <n v="315000"/>
    <x v="0"/>
    <x v="1"/>
    <x v="2"/>
  </r>
  <r>
    <x v="128"/>
    <x v="21"/>
    <x v="1"/>
    <n v="150"/>
    <n v="630"/>
    <n v="94500"/>
    <m/>
    <n v="94500"/>
    <x v="5"/>
    <x v="1"/>
    <x v="2"/>
  </r>
  <r>
    <x v="129"/>
    <x v="21"/>
    <x v="1"/>
    <n v="20"/>
    <n v="700"/>
    <n v="14000"/>
    <m/>
    <n v="14000"/>
    <x v="2"/>
    <x v="1"/>
    <x v="2"/>
  </r>
  <r>
    <x v="130"/>
    <x v="66"/>
    <x v="0"/>
    <n v="50"/>
    <n v="630"/>
    <n v="31500"/>
    <m/>
    <n v="31500"/>
    <x v="3"/>
    <x v="1"/>
    <x v="2"/>
  </r>
  <r>
    <x v="131"/>
    <x v="66"/>
    <x v="0"/>
    <n v="85"/>
    <n v="630"/>
    <n v="53550"/>
    <m/>
    <n v="53550"/>
    <x v="4"/>
    <x v="2"/>
    <x v="2"/>
  </r>
  <r>
    <x v="132"/>
    <x v="29"/>
    <x v="0"/>
    <n v="12"/>
    <n v="650"/>
    <n v="7800"/>
    <m/>
    <n v="7800"/>
    <x v="5"/>
    <x v="2"/>
    <x v="2"/>
  </r>
  <r>
    <x v="133"/>
    <x v="18"/>
    <x v="0"/>
    <n v="250"/>
    <n v="700"/>
    <n v="175000"/>
    <m/>
    <n v="175000"/>
    <x v="3"/>
    <x v="2"/>
    <x v="2"/>
  </r>
  <r>
    <x v="134"/>
    <x v="67"/>
    <x v="0"/>
    <n v="30"/>
    <n v="750"/>
    <n v="22500"/>
    <m/>
    <n v="22500"/>
    <x v="3"/>
    <x v="3"/>
    <x v="2"/>
  </r>
  <r>
    <x v="135"/>
    <x v="68"/>
    <x v="0"/>
    <n v="48"/>
    <n v="720"/>
    <n v="34560"/>
    <m/>
    <n v="34560"/>
    <x v="0"/>
    <x v="3"/>
    <x v="2"/>
  </r>
  <r>
    <x v="135"/>
    <x v="33"/>
    <x v="2"/>
    <n v="15"/>
    <n v="700"/>
    <n v="10500"/>
    <m/>
    <n v="10500"/>
    <x v="0"/>
    <x v="3"/>
    <x v="2"/>
  </r>
  <r>
    <x v="135"/>
    <x v="33"/>
    <x v="0"/>
    <n v="40"/>
    <n v="800"/>
    <n v="32000"/>
    <m/>
    <n v="32000"/>
    <x v="0"/>
    <x v="3"/>
    <x v="2"/>
  </r>
  <r>
    <x v="136"/>
    <x v="29"/>
    <x v="0"/>
    <n v="10"/>
    <n v="700"/>
    <n v="7000"/>
    <m/>
    <n v="7000"/>
    <x v="2"/>
    <x v="3"/>
    <x v="2"/>
  </r>
  <r>
    <x v="136"/>
    <x v="29"/>
    <x v="1"/>
    <n v="30"/>
    <n v="750"/>
    <n v="22500"/>
    <m/>
    <n v="22500"/>
    <x v="2"/>
    <x v="3"/>
    <x v="2"/>
  </r>
  <r>
    <x v="137"/>
    <x v="69"/>
    <x v="2"/>
    <n v="16"/>
    <n v="700"/>
    <n v="11200"/>
    <m/>
    <n v="11200"/>
    <x v="2"/>
    <x v="5"/>
    <x v="2"/>
  </r>
  <r>
    <x v="138"/>
    <x v="27"/>
    <x v="0"/>
    <n v="300"/>
    <n v="800"/>
    <n v="240000"/>
    <m/>
    <n v="240000"/>
    <x v="2"/>
    <x v="5"/>
    <x v="3"/>
  </r>
  <r>
    <x v="139"/>
    <x v="27"/>
    <x v="0"/>
    <n v="300"/>
    <n v="800"/>
    <n v="240000"/>
    <m/>
    <n v="240000"/>
    <x v="5"/>
    <x v="5"/>
    <x v="3"/>
  </r>
  <r>
    <x v="140"/>
    <x v="27"/>
    <x v="0"/>
    <n v="200"/>
    <n v="800"/>
    <n v="160000"/>
    <m/>
    <n v="160000"/>
    <x v="2"/>
    <x v="5"/>
    <x v="3"/>
  </r>
  <r>
    <x v="140"/>
    <x v="70"/>
    <x v="2"/>
    <n v="100"/>
    <n v="1000"/>
    <n v="100000"/>
    <m/>
    <n v="100000"/>
    <x v="2"/>
    <x v="5"/>
    <x v="3"/>
  </r>
  <r>
    <x v="140"/>
    <x v="71"/>
    <x v="0"/>
    <n v="25"/>
    <n v="800"/>
    <n v="20000"/>
    <m/>
    <n v="20000"/>
    <x v="2"/>
    <x v="5"/>
    <x v="3"/>
  </r>
  <r>
    <x v="141"/>
    <x v="72"/>
    <x v="2"/>
    <n v="550"/>
    <n v="950"/>
    <n v="522500"/>
    <m/>
    <n v="522500"/>
    <x v="0"/>
    <x v="6"/>
    <x v="3"/>
  </r>
  <r>
    <x v="141"/>
    <x v="73"/>
    <x v="0"/>
    <n v="100"/>
    <n v="800"/>
    <n v="80000"/>
    <m/>
    <n v="80000"/>
    <x v="0"/>
    <x v="6"/>
    <x v="3"/>
  </r>
  <r>
    <x v="142"/>
    <x v="18"/>
    <x v="0"/>
    <n v="200"/>
    <n v="800"/>
    <n v="160000"/>
    <m/>
    <n v="160000"/>
    <x v="5"/>
    <x v="6"/>
    <x v="3"/>
  </r>
  <r>
    <x v="143"/>
    <x v="74"/>
    <x v="0"/>
    <n v="25"/>
    <n v="800"/>
    <n v="20000"/>
    <n v="20000"/>
    <n v="0"/>
    <x v="0"/>
    <x v="7"/>
    <x v="3"/>
  </r>
  <r>
    <x v="144"/>
    <x v="75"/>
    <x v="0"/>
    <n v="24"/>
    <n v="700"/>
    <n v="16800"/>
    <m/>
    <n v="16800"/>
    <x v="4"/>
    <x v="7"/>
    <x v="3"/>
  </r>
  <r>
    <x v="145"/>
    <x v="76"/>
    <x v="2"/>
    <n v="40"/>
    <n v="900"/>
    <n v="36000"/>
    <m/>
    <n v="36000"/>
    <x v="6"/>
    <x v="7"/>
    <x v="3"/>
  </r>
  <r>
    <x v="146"/>
    <x v="77"/>
    <x v="0"/>
    <n v="38"/>
    <n v="800"/>
    <n v="30400"/>
    <n v="30400"/>
    <n v="0"/>
    <x v="1"/>
    <x v="7"/>
    <x v="3"/>
  </r>
  <r>
    <x v="147"/>
    <x v="78"/>
    <x v="2"/>
    <n v="250"/>
    <n v="950"/>
    <n v="237500"/>
    <m/>
    <n v="237500"/>
    <x v="5"/>
    <x v="7"/>
    <x v="3"/>
  </r>
  <r>
    <x v="148"/>
    <x v="73"/>
    <x v="0"/>
    <n v="500"/>
    <n v="800"/>
    <n v="400000"/>
    <m/>
    <n v="400000"/>
    <x v="1"/>
    <x v="8"/>
    <x v="3"/>
  </r>
  <r>
    <x v="149"/>
    <x v="79"/>
    <x v="0"/>
    <n v="50"/>
    <n v="730"/>
    <n v="36500"/>
    <m/>
    <n v="36500"/>
    <x v="4"/>
    <x v="8"/>
    <x v="3"/>
  </r>
  <r>
    <x v="150"/>
    <x v="80"/>
    <x v="0"/>
    <n v="100"/>
    <n v="800"/>
    <n v="80000"/>
    <m/>
    <n v="80000"/>
    <x v="5"/>
    <x v="9"/>
    <x v="3"/>
  </r>
  <r>
    <x v="150"/>
    <x v="80"/>
    <x v="2"/>
    <n v="50"/>
    <n v="950"/>
    <n v="47500"/>
    <m/>
    <n v="47500"/>
    <x v="5"/>
    <x v="9"/>
    <x v="3"/>
  </r>
  <r>
    <x v="151"/>
    <x v="80"/>
    <x v="0"/>
    <n v="20"/>
    <n v="800"/>
    <n v="16000"/>
    <m/>
    <n v="16000"/>
    <x v="4"/>
    <x v="9"/>
    <x v="3"/>
  </r>
  <r>
    <x v="152"/>
    <x v="81"/>
    <x v="0"/>
    <n v="14"/>
    <n v="800"/>
    <n v="11200"/>
    <n v="5000"/>
    <n v="6200"/>
    <x v="1"/>
    <x v="9"/>
    <x v="3"/>
  </r>
  <r>
    <x v="153"/>
    <x v="82"/>
    <x v="0"/>
    <n v="100"/>
    <n v="800"/>
    <n v="80000"/>
    <m/>
    <n v="80000"/>
    <x v="3"/>
    <x v="9"/>
    <x v="3"/>
  </r>
  <r>
    <x v="153"/>
    <x v="82"/>
    <x v="2"/>
    <n v="130"/>
    <n v="1000"/>
    <n v="130000"/>
    <m/>
    <n v="130000"/>
    <x v="3"/>
    <x v="9"/>
    <x v="3"/>
  </r>
  <r>
    <x v="154"/>
    <x v="83"/>
    <x v="0"/>
    <n v="950"/>
    <n v="750"/>
    <n v="712500"/>
    <m/>
    <n v="712500"/>
    <x v="0"/>
    <x v="10"/>
    <x v="3"/>
  </r>
  <r>
    <x v="155"/>
    <x v="18"/>
    <x v="0"/>
    <n v="30"/>
    <n v="900"/>
    <n v="27000"/>
    <m/>
    <n v="27000"/>
    <x v="4"/>
    <x v="10"/>
    <x v="3"/>
  </r>
  <r>
    <x v="156"/>
    <x v="82"/>
    <x v="0"/>
    <n v="25"/>
    <n v="800"/>
    <n v="20000"/>
    <m/>
    <n v="20000"/>
    <x v="0"/>
    <x v="10"/>
    <x v="3"/>
  </r>
  <r>
    <x v="156"/>
    <x v="82"/>
    <x v="2"/>
    <n v="126"/>
    <n v="1000"/>
    <n v="126000"/>
    <m/>
    <n v="126000"/>
    <x v="0"/>
    <x v="10"/>
    <x v="3"/>
  </r>
  <r>
    <x v="157"/>
    <x v="84"/>
    <x v="2"/>
    <n v="405"/>
    <n v="1000"/>
    <n v="405000"/>
    <m/>
    <n v="405000"/>
    <x v="4"/>
    <x v="11"/>
    <x v="3"/>
  </r>
  <r>
    <x v="158"/>
    <x v="83"/>
    <x v="0"/>
    <n v="125"/>
    <n v="800"/>
    <n v="100000"/>
    <m/>
    <n v="100000"/>
    <x v="1"/>
    <x v="11"/>
    <x v="3"/>
  </r>
  <r>
    <x v="159"/>
    <x v="85"/>
    <x v="2"/>
    <n v="200"/>
    <n v="850"/>
    <n v="170000"/>
    <m/>
    <n v="170000"/>
    <x v="1"/>
    <x v="11"/>
    <x v="3"/>
  </r>
  <r>
    <x v="160"/>
    <x v="86"/>
    <x v="0"/>
    <n v="20"/>
    <n v="900"/>
    <n v="18000"/>
    <m/>
    <n v="18000"/>
    <x v="2"/>
    <x v="11"/>
    <x v="3"/>
  </r>
  <r>
    <x v="161"/>
    <x v="87"/>
    <x v="0"/>
    <n v="36"/>
    <n v="850"/>
    <n v="30600"/>
    <m/>
    <n v="30600"/>
    <x v="3"/>
    <x v="11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9">
  <r>
    <x v="0"/>
    <n v="1020"/>
    <n v="500"/>
    <n v="336"/>
    <n v="1856"/>
    <m/>
    <n v="30"/>
    <n v="35"/>
    <n v="35"/>
    <n v="25"/>
    <n v="90000"/>
    <n v="140000"/>
    <n v="42000"/>
    <n v="4125"/>
    <m/>
    <m/>
    <m/>
    <x v="0"/>
    <n v="-276125"/>
    <m/>
    <x v="0"/>
    <x v="0"/>
  </r>
  <r>
    <x v="1"/>
    <m/>
    <m/>
    <m/>
    <m/>
    <n v="1274"/>
    <m/>
    <m/>
    <m/>
    <m/>
    <m/>
    <m/>
    <m/>
    <m/>
    <m/>
    <n v="63700"/>
    <n v="340250"/>
    <x v="1"/>
    <n v="276550"/>
    <m/>
    <x v="1"/>
    <x v="1"/>
  </r>
  <r>
    <x v="2"/>
    <n v="900"/>
    <n v="1250"/>
    <n v="210"/>
    <n v="2360"/>
    <n v="1283"/>
    <n v="48"/>
    <n v="45"/>
    <n v="45"/>
    <n v="24"/>
    <n v="147500"/>
    <n v="189000"/>
    <n v="67500"/>
    <n v="4000"/>
    <m/>
    <n v="64150"/>
    <n v="347950"/>
    <x v="2"/>
    <n v="-124200"/>
    <n v="1390"/>
    <x v="2"/>
    <x v="1"/>
  </r>
  <r>
    <x v="3"/>
    <n v="440"/>
    <n v="96"/>
    <n v="252"/>
    <n v="788"/>
    <n v="802"/>
    <n v="20"/>
    <n v="29"/>
    <n v="16"/>
    <n v="24"/>
    <n v="70000"/>
    <n v="119400"/>
    <n v="22400"/>
    <n v="4000"/>
    <m/>
    <n v="40100"/>
    <n v="257600"/>
    <x v="3"/>
    <n v="1700"/>
    <m/>
    <x v="3"/>
    <x v="1"/>
  </r>
  <r>
    <x v="4"/>
    <m/>
    <n v="700"/>
    <n v="798"/>
    <n v="1498"/>
    <n v="1560"/>
    <n v="30"/>
    <n v="22"/>
    <n v="33"/>
    <n v="27"/>
    <n v="120000"/>
    <n v="90000"/>
    <n v="48000"/>
    <n v="4400"/>
    <m/>
    <n v="78000"/>
    <n v="521800"/>
    <x v="4"/>
    <n v="181400"/>
    <m/>
    <x v="4"/>
    <x v="1"/>
  </r>
  <r>
    <x v="5"/>
    <m/>
    <n v="546"/>
    <m/>
    <n v="546"/>
    <n v="376"/>
    <n v="10"/>
    <n v="10"/>
    <n v="11"/>
    <n v="12"/>
    <n v="40000"/>
    <n v="40000"/>
    <n v="15000"/>
    <n v="2000"/>
    <m/>
    <n v="18800"/>
    <n v="114700"/>
    <x v="5"/>
    <n v="-1100"/>
    <n v="4300"/>
    <x v="5"/>
    <x v="1"/>
  </r>
  <r>
    <x v="6"/>
    <m/>
    <m/>
    <n v="645"/>
    <n v="645"/>
    <n v="706"/>
    <n v="30"/>
    <n v="20"/>
    <n v="15"/>
    <n v="12"/>
    <n v="120000"/>
    <n v="82000"/>
    <n v="22500"/>
    <n v="2000"/>
    <m/>
    <n v="35300"/>
    <n v="222800"/>
    <x v="6"/>
    <n v="-39000"/>
    <m/>
    <x v="6"/>
    <x v="1"/>
  </r>
  <r>
    <x v="7"/>
    <n v="780"/>
    <m/>
    <m/>
    <n v="780"/>
    <n v="600"/>
    <n v="10"/>
    <n v="12"/>
    <n v="13"/>
    <n v="12"/>
    <n v="50000"/>
    <n v="45700"/>
    <n v="15000"/>
    <n v="2000"/>
    <m/>
    <n v="30000"/>
    <n v="190000"/>
    <x v="7"/>
    <n v="47300"/>
    <n v="5000"/>
    <x v="7"/>
    <x v="1"/>
  </r>
  <r>
    <x v="8"/>
    <n v="569"/>
    <m/>
    <n v="3226"/>
    <n v="3795"/>
    <n v="4600"/>
    <n v="100"/>
    <n v="86"/>
    <n v="86"/>
    <n v="61"/>
    <n v="500000"/>
    <n v="348300"/>
    <n v="129000"/>
    <n v="10000"/>
    <n v="77900"/>
    <n v="230000"/>
    <n v="1594000"/>
    <x v="8"/>
    <n v="298800"/>
    <m/>
    <x v="8"/>
    <x v="1"/>
  </r>
  <r>
    <x v="9"/>
    <n v="1320"/>
    <n v="450"/>
    <n v="516"/>
    <n v="2286"/>
    <n v="954"/>
    <n v="20"/>
    <n v="53"/>
    <n v="48"/>
    <n v="48"/>
    <n v="100000"/>
    <n v="214650"/>
    <n v="72000"/>
    <n v="8000"/>
    <n v="2000"/>
    <n v="47700"/>
    <n v="297980"/>
    <x v="9"/>
    <n v="-146370"/>
    <n v="18200"/>
    <x v="9"/>
    <x v="1"/>
  </r>
  <r>
    <x v="10"/>
    <n v="1740"/>
    <n v="400"/>
    <n v="1634"/>
    <n v="3774"/>
    <n v="3460"/>
    <n v="90"/>
    <n v="70"/>
    <n v="75"/>
    <n v="48"/>
    <n v="435000"/>
    <n v="283500"/>
    <n v="112500"/>
    <n v="8000"/>
    <n v="5500"/>
    <n v="173000"/>
    <n v="1176300"/>
    <x v="10"/>
    <n v="158800"/>
    <n v="48000"/>
    <x v="10"/>
    <x v="1"/>
  </r>
  <r>
    <x v="11"/>
    <m/>
    <m/>
    <n v="430"/>
    <n v="430"/>
    <n v="1150"/>
    <n v="10"/>
    <n v="10"/>
    <n v="10"/>
    <n v="24"/>
    <n v="50000"/>
    <n v="40500"/>
    <n v="15000"/>
    <n v="4000"/>
    <n v="5000"/>
    <n v="57500"/>
    <n v="425000"/>
    <x v="11"/>
    <n v="253000"/>
    <m/>
    <x v="11"/>
    <x v="1"/>
  </r>
  <r>
    <x v="12"/>
    <n v="840"/>
    <m/>
    <n v="817"/>
    <n v="1657"/>
    <n v="1534"/>
    <n v="60"/>
    <n v="33"/>
    <n v="33"/>
    <n v="30"/>
    <n v="225000"/>
    <n v="155100"/>
    <n v="49500"/>
    <n v="5000"/>
    <m/>
    <n v="76700"/>
    <n v="580000"/>
    <x v="12"/>
    <n v="68700"/>
    <n v="230"/>
    <x v="0"/>
    <x v="1"/>
  </r>
  <r>
    <x v="13"/>
    <n v="480"/>
    <m/>
    <n v="344"/>
    <n v="824"/>
    <n v="950"/>
    <n v="18"/>
    <n v="18"/>
    <n v="16"/>
    <n v="20"/>
    <n v="87500"/>
    <n v="86400"/>
    <n v="24000"/>
    <n v="4000"/>
    <m/>
    <n v="57000"/>
    <n v="351320"/>
    <x v="13"/>
    <n v="92420"/>
    <m/>
    <x v="1"/>
    <x v="2"/>
  </r>
  <r>
    <x v="14"/>
    <m/>
    <m/>
    <m/>
    <m/>
    <m/>
    <m/>
    <m/>
    <m/>
    <m/>
    <m/>
    <m/>
    <m/>
    <m/>
    <m/>
    <m/>
    <m/>
    <x v="14"/>
    <m/>
    <m/>
    <x v="12"/>
    <x v="2"/>
  </r>
  <r>
    <x v="15"/>
    <n v="420"/>
    <m/>
    <n v="1591"/>
    <n v="2011"/>
    <n v="1616"/>
    <n v="38"/>
    <n v="44"/>
    <n v="44"/>
    <n v="39"/>
    <n v="187500"/>
    <n v="209000"/>
    <n v="66000"/>
    <n v="7500"/>
    <n v="2000"/>
    <n v="96960"/>
    <n v="644100"/>
    <x v="15"/>
    <n v="75140"/>
    <n v="100"/>
    <x v="3"/>
    <x v="2"/>
  </r>
  <r>
    <x v="16"/>
    <n v="900"/>
    <n v="2500"/>
    <n v="215"/>
    <n v="3615"/>
    <n v="3381"/>
    <n v="72"/>
    <n v="70"/>
    <n v="70"/>
    <n v="56"/>
    <n v="362500"/>
    <n v="328900"/>
    <n v="120000"/>
    <n v="11030"/>
    <n v="2000"/>
    <n v="52860"/>
    <n v="1015940"/>
    <x v="16"/>
    <n v="138650"/>
    <n v="50000"/>
    <x v="4"/>
    <x v="2"/>
  </r>
  <r>
    <x v="17"/>
    <n v="303"/>
    <n v="201"/>
    <m/>
    <n v="504"/>
    <n v="1642"/>
    <n v="8"/>
    <n v="7"/>
    <n v="6"/>
    <n v="8"/>
    <n v="37500"/>
    <n v="32900"/>
    <n v="9000"/>
    <n v="1500"/>
    <m/>
    <n v="98520"/>
    <n v="584200"/>
    <x v="17"/>
    <n v="404780"/>
    <m/>
    <x v="5"/>
    <x v="2"/>
  </r>
  <r>
    <x v="18"/>
    <m/>
    <m/>
    <n v="760"/>
    <n v="760"/>
    <n v="870"/>
    <n v="42"/>
    <n v="20"/>
    <n v="20"/>
    <n v="8"/>
    <n v="212500"/>
    <n v="145500"/>
    <n v="30000"/>
    <n v="2000"/>
    <m/>
    <n v="52200"/>
    <n v="343200"/>
    <x v="18"/>
    <n v="-99000"/>
    <m/>
    <x v="6"/>
    <x v="2"/>
  </r>
  <r>
    <x v="19"/>
    <m/>
    <m/>
    <n v="903"/>
    <n v="903"/>
    <n v="470"/>
    <n v="28"/>
    <n v="27"/>
    <n v="21"/>
    <n v="14"/>
    <n v="137500"/>
    <n v="135300"/>
    <n v="32000"/>
    <n v="7470"/>
    <n v="20200"/>
    <n v="28200"/>
    <n v="181500"/>
    <x v="19"/>
    <n v="-179170"/>
    <m/>
    <x v="7"/>
    <x v="2"/>
  </r>
  <r>
    <x v="20"/>
    <n v="480"/>
    <m/>
    <n v="560"/>
    <n v="1040"/>
    <n v="440"/>
    <n v="25"/>
    <n v="16"/>
    <n v="21"/>
    <n v="6"/>
    <n v="125000"/>
    <n v="87200"/>
    <n v="33500"/>
    <n v="3480"/>
    <m/>
    <n v="26400"/>
    <n v="182200"/>
    <x v="20"/>
    <n v="-93380"/>
    <n v="1000"/>
    <x v="8"/>
    <x v="2"/>
  </r>
  <r>
    <x v="21"/>
    <n v="660"/>
    <m/>
    <n v="1419"/>
    <n v="2079"/>
    <n v="1928"/>
    <n v="48"/>
    <n v="43"/>
    <n v="44"/>
    <n v="22"/>
    <n v="237500"/>
    <n v="230050"/>
    <n v="74800"/>
    <n v="12800"/>
    <n v="20000"/>
    <n v="115680"/>
    <n v="841200"/>
    <x v="21"/>
    <n v="150370"/>
    <m/>
    <x v="9"/>
    <x v="2"/>
  </r>
  <r>
    <x v="22"/>
    <n v="1920"/>
    <m/>
    <n v="860"/>
    <n v="2780"/>
    <n v="2838"/>
    <n v="65"/>
    <n v="53"/>
    <n v="52"/>
    <n v="26"/>
    <n v="360000"/>
    <n v="283550"/>
    <n v="138600"/>
    <n v="15600"/>
    <n v="3000"/>
    <n v="170280"/>
    <n v="1255440"/>
    <x v="22"/>
    <n v="284410"/>
    <n v="2150"/>
    <x v="10"/>
    <x v="2"/>
  </r>
  <r>
    <x v="23"/>
    <n v="1140"/>
    <m/>
    <m/>
    <n v="1140"/>
    <n v="982"/>
    <n v="18"/>
    <n v="18"/>
    <n v="19"/>
    <n v="8"/>
    <n v="100000"/>
    <n v="98100"/>
    <n v="32300"/>
    <n v="4800"/>
    <n v="1500"/>
    <n v="58920"/>
    <n v="446900"/>
    <x v="23"/>
    <n v="151280"/>
    <m/>
    <x v="11"/>
    <x v="2"/>
  </r>
  <r>
    <x v="24"/>
    <n v="840"/>
    <m/>
    <n v="817"/>
    <n v="1657"/>
    <n v="1505"/>
    <n v="50"/>
    <n v="33"/>
    <n v="33"/>
    <n v="26"/>
    <n v="300000"/>
    <n v="179850"/>
    <n v="56100"/>
    <n v="16000"/>
    <n v="4000"/>
    <n v="90300"/>
    <n v="710450"/>
    <x v="24"/>
    <n v="64200"/>
    <m/>
    <x v="0"/>
    <x v="2"/>
  </r>
  <r>
    <x v="25"/>
    <m/>
    <m/>
    <m/>
    <m/>
    <n v="720"/>
    <n v="8"/>
    <m/>
    <m/>
    <m/>
    <n v="45000"/>
    <m/>
    <m/>
    <m/>
    <n v="10000"/>
    <n v="50400"/>
    <n v="294000"/>
    <x v="25"/>
    <n v="188600"/>
    <m/>
    <x v="1"/>
    <x v="3"/>
  </r>
  <r>
    <x v="26"/>
    <n v="1560"/>
    <n v="20"/>
    <n v="430"/>
    <n v="2010"/>
    <n v="2020"/>
    <n v="45"/>
    <n v="40"/>
    <n v="40"/>
    <n v="16"/>
    <n v="270000"/>
    <n v="435800"/>
    <n v="78000"/>
    <n v="10000"/>
    <m/>
    <n v="141400"/>
    <n v="1120000"/>
    <x v="26"/>
    <n v="184800"/>
    <m/>
    <x v="2"/>
    <x v="3"/>
  </r>
  <r>
    <x v="27"/>
    <m/>
    <m/>
    <m/>
    <m/>
    <n v="347"/>
    <n v="10"/>
    <m/>
    <m/>
    <m/>
    <n v="85000"/>
    <m/>
    <m/>
    <m/>
    <m/>
    <n v="24290"/>
    <n v="236350"/>
    <x v="27"/>
    <n v="127060"/>
    <m/>
    <x v="3"/>
    <x v="3"/>
  </r>
  <r>
    <x v="28"/>
    <m/>
    <m/>
    <m/>
    <m/>
    <n v="173"/>
    <m/>
    <m/>
    <m/>
    <m/>
    <m/>
    <m/>
    <m/>
    <m/>
    <m/>
    <n v="12110"/>
    <n v="129060"/>
    <x v="28"/>
    <n v="116950"/>
    <m/>
    <x v="4"/>
    <x v="3"/>
  </r>
  <r>
    <x v="29"/>
    <m/>
    <m/>
    <m/>
    <m/>
    <m/>
    <m/>
    <m/>
    <m/>
    <m/>
    <m/>
    <m/>
    <m/>
    <m/>
    <m/>
    <m/>
    <m/>
    <x v="14"/>
    <m/>
    <m/>
    <x v="12"/>
    <x v="3"/>
  </r>
  <r>
    <x v="30"/>
    <m/>
    <m/>
    <m/>
    <m/>
    <n v="16"/>
    <m/>
    <m/>
    <m/>
    <m/>
    <m/>
    <m/>
    <m/>
    <m/>
    <m/>
    <n v="1120"/>
    <n v="11200"/>
    <x v="14"/>
    <n v="11200"/>
    <m/>
    <x v="12"/>
    <x v="3"/>
  </r>
  <r>
    <x v="31"/>
    <m/>
    <m/>
    <m/>
    <m/>
    <m/>
    <m/>
    <m/>
    <m/>
    <m/>
    <m/>
    <m/>
    <m/>
    <m/>
    <m/>
    <m/>
    <m/>
    <x v="14"/>
    <m/>
    <m/>
    <x v="12"/>
    <x v="3"/>
  </r>
  <r>
    <x v="32"/>
    <m/>
    <m/>
    <m/>
    <m/>
    <m/>
    <m/>
    <m/>
    <m/>
    <m/>
    <m/>
    <m/>
    <m/>
    <m/>
    <m/>
    <m/>
    <m/>
    <x v="14"/>
    <m/>
    <m/>
    <x v="12"/>
    <x v="3"/>
  </r>
  <r>
    <x v="33"/>
    <m/>
    <m/>
    <m/>
    <m/>
    <m/>
    <m/>
    <m/>
    <m/>
    <m/>
    <m/>
    <m/>
    <m/>
    <m/>
    <m/>
    <m/>
    <m/>
    <x v="14"/>
    <m/>
    <m/>
    <x v="12"/>
    <x v="3"/>
  </r>
  <r>
    <x v="34"/>
    <m/>
    <m/>
    <m/>
    <m/>
    <m/>
    <m/>
    <m/>
    <m/>
    <m/>
    <m/>
    <m/>
    <m/>
    <m/>
    <m/>
    <m/>
    <m/>
    <x v="14"/>
    <m/>
    <m/>
    <x v="12"/>
    <x v="3"/>
  </r>
  <r>
    <x v="35"/>
    <m/>
    <m/>
    <m/>
    <m/>
    <m/>
    <m/>
    <m/>
    <m/>
    <m/>
    <m/>
    <m/>
    <m/>
    <m/>
    <m/>
    <m/>
    <m/>
    <x v="14"/>
    <m/>
    <m/>
    <x v="12"/>
    <x v="3"/>
  </r>
  <r>
    <x v="36"/>
    <m/>
    <m/>
    <m/>
    <m/>
    <m/>
    <m/>
    <m/>
    <m/>
    <m/>
    <m/>
    <m/>
    <m/>
    <m/>
    <m/>
    <m/>
    <m/>
    <x v="14"/>
    <m/>
    <m/>
    <x v="12"/>
    <x v="3"/>
  </r>
  <r>
    <x v="37"/>
    <m/>
    <m/>
    <m/>
    <m/>
    <m/>
    <m/>
    <m/>
    <m/>
    <m/>
    <m/>
    <m/>
    <m/>
    <m/>
    <m/>
    <m/>
    <m/>
    <x v="14"/>
    <m/>
    <m/>
    <x v="12"/>
    <x v="4"/>
  </r>
  <r>
    <x v="38"/>
    <m/>
    <m/>
    <m/>
    <m/>
    <m/>
    <m/>
    <m/>
    <m/>
    <m/>
    <m/>
    <m/>
    <m/>
    <m/>
    <m/>
    <m/>
    <m/>
    <x v="14"/>
    <m/>
    <m/>
    <x v="12"/>
    <x v="4"/>
  </r>
  <r>
    <x v="39"/>
    <m/>
    <m/>
    <m/>
    <m/>
    <m/>
    <m/>
    <m/>
    <m/>
    <m/>
    <m/>
    <m/>
    <m/>
    <m/>
    <m/>
    <m/>
    <m/>
    <x v="14"/>
    <m/>
    <m/>
    <x v="12"/>
    <x v="4"/>
  </r>
  <r>
    <x v="40"/>
    <m/>
    <m/>
    <m/>
    <m/>
    <m/>
    <m/>
    <m/>
    <m/>
    <m/>
    <m/>
    <m/>
    <m/>
    <m/>
    <m/>
    <m/>
    <m/>
    <x v="14"/>
    <m/>
    <m/>
    <x v="12"/>
    <x v="4"/>
  </r>
  <r>
    <x v="41"/>
    <n v="960"/>
    <m/>
    <n v="566"/>
    <n v="1526"/>
    <m/>
    <n v="10"/>
    <n v="35"/>
    <n v="29"/>
    <n v="25"/>
    <n v="100000"/>
    <n v="367500"/>
    <n v="87000"/>
    <n v="22250"/>
    <n v="237700"/>
    <m/>
    <m/>
    <x v="29"/>
    <n v="-814450"/>
    <m/>
    <x v="5"/>
    <x v="4"/>
  </r>
  <r>
    <x v="42"/>
    <m/>
    <m/>
    <m/>
    <m/>
    <n v="925"/>
    <m/>
    <m/>
    <m/>
    <m/>
    <m/>
    <m/>
    <m/>
    <m/>
    <m/>
    <n v="69375"/>
    <n v="760000"/>
    <x v="30"/>
    <n v="690625"/>
    <m/>
    <x v="6"/>
    <x v="4"/>
  </r>
  <r>
    <x v="43"/>
    <n v="1184"/>
    <m/>
    <n v="472"/>
    <n v="1656"/>
    <n v="850"/>
    <n v="30"/>
    <n v="25"/>
    <n v="29"/>
    <n v="22"/>
    <n v="300000"/>
    <n v="265500"/>
    <n v="92000"/>
    <n v="20000"/>
    <m/>
    <n v="63750"/>
    <n v="762500"/>
    <x v="31"/>
    <n v="21250"/>
    <m/>
    <x v="7"/>
    <x v="4"/>
  </r>
  <r>
    <x v="44"/>
    <m/>
    <m/>
    <m/>
    <m/>
    <n v="377"/>
    <m/>
    <m/>
    <m/>
    <m/>
    <m/>
    <m/>
    <m/>
    <m/>
    <m/>
    <n v="23550"/>
    <n v="290300"/>
    <x v="32"/>
    <n v="266750"/>
    <n v="50400"/>
    <x v="8"/>
    <x v="4"/>
  </r>
  <r>
    <x v="45"/>
    <m/>
    <m/>
    <m/>
    <m/>
    <n v="550"/>
    <n v="10"/>
    <m/>
    <m/>
    <m/>
    <n v="100000"/>
    <m/>
    <m/>
    <m/>
    <m/>
    <n v="41250"/>
    <n v="436500"/>
    <x v="33"/>
    <n v="295250"/>
    <m/>
    <x v="9"/>
    <x v="4"/>
  </r>
  <r>
    <x v="46"/>
    <n v="584"/>
    <m/>
    <m/>
    <n v="584"/>
    <n v="414"/>
    <m/>
    <n v="12"/>
    <n v="10"/>
    <n v="11"/>
    <m/>
    <n v="122400"/>
    <n v="30000"/>
    <n v="10000"/>
    <n v="80000"/>
    <n v="31050"/>
    <n v="359700"/>
    <x v="34"/>
    <n v="86250"/>
    <n v="5000"/>
    <x v="10"/>
    <x v="4"/>
  </r>
  <r>
    <x v="47"/>
    <n v="1558"/>
    <m/>
    <n v="817"/>
    <n v="2375"/>
    <n v="1131"/>
    <n v="60"/>
    <n v="39"/>
    <n v="42"/>
    <n v="36"/>
    <n v="510000"/>
    <n v="401700"/>
    <n v="142000"/>
    <n v="32500"/>
    <n v="64000"/>
    <n v="84825"/>
    <n v="885500"/>
    <x v="35"/>
    <n v="-349525"/>
    <m/>
    <x v="11"/>
    <x v="4"/>
  </r>
  <r>
    <x v="48"/>
    <m/>
    <m/>
    <m/>
    <m/>
    <n v="786"/>
    <m/>
    <m/>
    <m/>
    <m/>
    <m/>
    <m/>
    <m/>
    <m/>
    <m/>
    <n v="58950"/>
    <n v="723600"/>
    <x v="36"/>
    <n v="664650"/>
    <m/>
    <x v="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0" cacheId="3" applyNumberFormats="0" applyBorderFormats="0" applyFontFormats="0" applyPatternFormats="0" applyAlignmentFormats="0" applyWidthHeightFormats="1" dataCaption="Values" updatedVersion="5" minRefreshableVersion="3" useAutoFormatting="1" subtotalHiddenItems="1" itemPrintTitles="1" createdVersion="5" indent="0" outline="1" outlineData="1" multipleFieldFilters="0">
  <location ref="A5:C47" firstHeaderRow="0" firstDataRow="1" firstDataCol="1"/>
  <pivotFields count="5">
    <pivotField axis="axisRow" allDrilled="1" showAll="0" sortType="ascending" defaultAttributeDrillState="1">
      <items count="6">
        <item x="0"/>
        <item x="1"/>
        <item x="2"/>
        <item x="3"/>
        <item x="4"/>
        <item t="default"/>
      </items>
    </pivotField>
    <pivotField axis="axisRow" allDrilled="1" showAll="0" sortType="ascending" defaultAttributeDrillState="1">
      <items count="13">
        <item x="4"/>
        <item x="3"/>
        <item x="7"/>
        <item x="1"/>
        <item x="8"/>
        <item x="6"/>
        <item x="5"/>
        <item x="2"/>
        <item x="11"/>
        <item x="10"/>
        <item x="9"/>
        <item x="0"/>
        <item t="default"/>
      </items>
    </pivotField>
    <pivotField allDrilled="1" showAll="0" dataSourceSort="1" defaultAttributeDrillState="1">
      <items count="28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t="default"/>
      </items>
    </pivotField>
    <pivotField dataField="1" showAll="0"/>
    <pivotField dataField="1" showAll="0"/>
  </pivotFields>
  <rowFields count="2">
    <field x="0"/>
    <field x="1"/>
  </rowFields>
  <rowItems count="42">
    <i>
      <x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>
      <x v="4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Qty Produced" fld="3" baseField="0" baseItem="0" numFmtId="166"/>
    <dataField name="Sum of Total Cost" fld="4" baseField="0" baseItem="0"/>
  </dataFields>
  <formats count="14">
    <format dxfId="112">
      <pivotArea type="all" dataOnly="0" outline="0" fieldPosition="0"/>
    </format>
    <format dxfId="111">
      <pivotArea outline="0" collapsedLevelsAreSubtotals="1" fieldPosition="0"/>
    </format>
    <format dxfId="110">
      <pivotArea dataOnly="0" labelOnly="1" fieldPosition="0">
        <references count="1">
          <reference field="0" count="0"/>
        </references>
      </pivotArea>
    </format>
    <format dxfId="109">
      <pivotArea dataOnly="0" labelOnly="1" grandRow="1" outline="0" fieldPosition="0"/>
    </format>
    <format dxfId="108">
      <pivotArea dataOnly="0" labelOnly="1" grandCol="1" outline="0" fieldPosition="0"/>
    </format>
    <format dxfId="107">
      <pivotArea type="all" dataOnly="0" outline="0" fieldPosition="0"/>
    </format>
    <format dxfId="106">
      <pivotArea outline="0" collapsedLevelsAreSubtotals="1" fieldPosition="0"/>
    </format>
    <format dxfId="105">
      <pivotArea dataOnly="0" labelOnly="1" fieldPosition="0">
        <references count="1">
          <reference field="0" count="0"/>
        </references>
      </pivotArea>
    </format>
    <format dxfId="104">
      <pivotArea dataOnly="0" labelOnly="1" grandRow="1" outline="0" fieldPosition="0"/>
    </format>
    <format dxfId="103">
      <pivotArea field="0" type="button" dataOnly="0" labelOnly="1" outline="0" axis="axisRow" fieldPosition="0"/>
    </format>
    <format dxfId="102">
      <pivotArea dataOnly="0" labelOnly="1" grandCol="1" outline="0" fieldPosition="0"/>
    </format>
    <format dxfId="101">
      <pivotArea dataOnly="0" outline="0" fieldPosition="0">
        <references count="1">
          <reference field="4294967294" count="1">
            <x v="1"/>
          </reference>
        </references>
      </pivotArea>
    </format>
    <format dxfId="10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99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Hierarchies count="27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21"/>
    <rowHierarchyUsage hierarchyUsage="2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DUCTION_DATA!$A$1:$V$50">
        <x15:activeTabTopLevelEntity name="[Range]"/>
      </x15:pivotTableUISettings>
    </ext>
  </extLst>
</pivotTableDefinition>
</file>

<file path=xl/pivotTables/pivotTable2.xml><?xml version="1.0" encoding="utf-8"?>
<pivotTableDefinition xmlns="http://schemas.openxmlformats.org/spreadsheetml/2006/main" name="PivotTable13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H58" firstHeaderRow="0" firstDataRow="1" firstDataCol="1"/>
  <pivotFields count="22">
    <pivotField axis="axisRow" numFmtId="17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21"/>
    <field x="0"/>
  </rowFields>
  <rowItems count="55">
    <i>
      <x/>
    </i>
    <i r="1">
      <x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3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>
      <x v="4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Total Cost" fld="17" baseField="0" baseItem="7" numFmtId="164"/>
    <dataField name="Sum of Sand Cost" fld="10" baseField="0" baseItem="7" numFmtId="164"/>
    <dataField name="Sum of Cement Cost" fld="11" baseField="0" baseItem="7" numFmtId="164"/>
    <dataField name="Sum of Operators' Payment" fld="12" baseField="0" baseItem="7" numFmtId="164"/>
    <dataField name="Sum of Fuel Cost" fld="13" baseField="0" baseItem="7" numFmtId="164"/>
    <dataField name="Sum of Maintenance" fld="14" baseField="0" baseItem="7" numFmtId="164"/>
    <dataField name="Sum of Delivery Cost" fld="15" baseField="0" baseItem="0" numFmtId="164"/>
  </dataFields>
  <formats count="25">
    <format dxfId="98">
      <pivotArea outline="0" collapsedLevelsAreSubtotals="1" fieldPosition="0"/>
    </format>
    <format dxfId="97">
      <pivotArea dataOnly="0" labelOnly="1" outline="0" axis="axisValues" fieldPosition="0"/>
    </format>
    <format dxfId="96">
      <pivotArea outline="0" fieldPosition="0">
        <references count="1">
          <reference field="4294967294" count="1">
            <x v="1"/>
          </reference>
        </references>
      </pivotArea>
    </format>
    <format dxfId="95">
      <pivotArea outline="0" fieldPosition="0">
        <references count="1">
          <reference field="4294967294" count="1">
            <x v="2"/>
          </reference>
        </references>
      </pivotArea>
    </format>
    <format dxfId="94">
      <pivotArea outline="0" fieldPosition="0">
        <references count="1">
          <reference field="4294967294" count="1">
            <x v="3"/>
          </reference>
        </references>
      </pivotArea>
    </format>
    <format dxfId="93">
      <pivotArea outline="0" fieldPosition="0">
        <references count="1">
          <reference field="4294967294" count="1">
            <x v="4"/>
          </reference>
        </references>
      </pivotArea>
    </format>
    <format dxfId="92">
      <pivotArea outline="0" fieldPosition="0">
        <references count="1">
          <reference field="4294967294" count="1">
            <x v="5"/>
          </reference>
        </references>
      </pivotArea>
    </format>
    <format dxfId="91">
      <pivotArea outline="0" fieldPosition="0">
        <references count="1">
          <reference field="4294967294" count="1">
            <x v="6"/>
          </reference>
        </references>
      </pivotArea>
    </format>
    <format dxfId="90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89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88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87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86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85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84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83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8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80">
      <pivotArea outline="0" fieldPosition="0">
        <references count="1">
          <reference field="4294967294" count="1">
            <x v="1"/>
          </reference>
        </references>
      </pivotArea>
    </format>
    <format dxfId="79">
      <pivotArea outline="0" fieldPosition="0">
        <references count="1">
          <reference field="4294967294" count="1">
            <x v="0"/>
          </reference>
        </references>
      </pivotArea>
    </format>
    <format dxfId="7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6">
      <pivotArea outline="0" fieldPosition="0">
        <references count="1">
          <reference field="4294967294" count="1">
            <x v="1"/>
          </reference>
        </references>
      </pivotArea>
    </format>
    <format dxfId="75">
      <pivotArea outline="0" fieldPosition="0">
        <references count="1">
          <reference field="4294967294" count="1">
            <x v="1"/>
          </reference>
        </references>
      </pivotArea>
    </format>
    <format dxfId="7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1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5:G47" firstHeaderRow="0" firstDataRow="1" firstDataCol="1"/>
  <pivotFields count="22">
    <pivotField numFmtId="17" showAll="0"/>
    <pivotField multipleItemSelectionAllowed="1" showAll="0"/>
    <pivotField multipleItemSelectionAllowed="1" showAll="0"/>
    <pivotField multipleItemSelectionAllowed="1" showAll="0"/>
    <pivotField dataField="1" showAll="0"/>
    <pivotField dataField="1" showAll="0"/>
    <pivotField dataField="1"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>
      <items count="38">
        <item x="28"/>
        <item x="32"/>
        <item x="36"/>
        <item x="1"/>
        <item x="30"/>
        <item x="25"/>
        <item x="27"/>
        <item x="5"/>
        <item x="33"/>
        <item x="7"/>
        <item x="11"/>
        <item x="17"/>
        <item x="3"/>
        <item x="13"/>
        <item x="6"/>
        <item x="34"/>
        <item x="20"/>
        <item x="0"/>
        <item x="23"/>
        <item x="4"/>
        <item x="19"/>
        <item x="18"/>
        <item x="9"/>
        <item x="2"/>
        <item x="12"/>
        <item x="15"/>
        <item x="24"/>
        <item x="21"/>
        <item x="31"/>
        <item x="29"/>
        <item x="16"/>
        <item x="26"/>
        <item x="22"/>
        <item x="10"/>
        <item x="35"/>
        <item x="8"/>
        <item h="1" x="14"/>
        <item t="default"/>
      </items>
    </pivotField>
    <pivotField showAll="0"/>
    <pivotField showAll="0"/>
    <pivotField axis="axisRow"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h="1" x="12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21"/>
    <field x="20"/>
  </rowFields>
  <rowItems count="42">
    <i>
      <x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>
      <x v="4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Total Qty Sold" fld="5" baseField="20" baseItem="4" numFmtId="166"/>
    <dataField name="Sum of Total Qty Produced" fld="4" baseField="0" baseItem="14" numFmtId="166"/>
    <dataField name="Sum of Cement Cost" fld="11" baseField="4" baseItem="0"/>
    <dataField name="Sum of Operators' Payment" fld="12" baseField="4" baseItem="4"/>
    <dataField name="Sum of Bag Produced" fld="8" baseField="0" baseItem="11" numFmtId="1"/>
    <dataField name="Sum of Tons Of Sand " fld="6" baseField="20" baseItem="11"/>
  </dataFields>
  <formats count="14">
    <format dxfId="73">
      <pivotArea field="17" type="button" dataOnly="0" labelOnly="1" outline="0"/>
    </format>
    <format dxfId="72">
      <pivotArea outline="0" collapsedLevelsAreSubtotals="1" fieldPosition="0"/>
    </format>
    <format dxfId="71">
      <pivotArea dataOnly="0" labelOnly="1" outline="0" axis="axisValues" fieldPosition="0"/>
    </format>
    <format dxfId="70">
      <pivotArea type="all" dataOnly="0" outline="0" fieldPosition="0"/>
    </format>
    <format dxfId="69">
      <pivotArea outline="0" collapsedLevelsAreSubtotals="1" fieldPosition="0"/>
    </format>
    <format dxfId="68">
      <pivotArea dataOnly="0" labelOnly="1" grandRow="1" outline="0" fieldPosition="0"/>
    </format>
    <format dxfId="6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5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64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6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60">
      <pivotArea dataOnly="0" labelOnly="1" outline="0" fieldPosition="0">
        <references count="1">
          <reference field="4294967294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I44" firstHeaderRow="1" firstDataRow="2" firstDataCol="1" rowPageCount="1" colPageCount="1"/>
  <pivotFields count="11">
    <pivotField numFmtId="165" showAll="0"/>
    <pivotField showAll="0"/>
    <pivotField axis="axisPage" showAll="0">
      <items count="4">
        <item x="0"/>
        <item x="1"/>
        <item x="2"/>
        <item t="default"/>
      </items>
    </pivotField>
    <pivotField dataField="1" showAll="0"/>
    <pivotField numFmtId="164" showAll="0"/>
    <pivotField numFmtId="164" showAll="0"/>
    <pivotField showAll="0"/>
    <pivotField numFmtId="164" showAll="0"/>
    <pivotField axis="axisCol" showAll="0">
      <items count="8">
        <item x="2"/>
        <item x="3"/>
        <item x="1"/>
        <item x="5"/>
        <item x="4"/>
        <item x="0"/>
        <item x="6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10"/>
    <field x="9"/>
  </rowFields>
  <rowItems count="4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5"/>
    </i>
    <i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2" hier="-1"/>
  </pageFields>
  <dataFields count="1">
    <dataField name="Sum of Qty Sold" fld="3" baseField="9" baseItem="0"/>
  </dataFields>
  <formats count="14">
    <format dxfId="59">
      <pivotArea type="all" dataOnly="0" outline="0" fieldPosition="0"/>
    </format>
    <format dxfId="58">
      <pivotArea outline="0" collapsedLevelsAreSubtotals="1" fieldPosition="0"/>
    </format>
    <format dxfId="57">
      <pivotArea dataOnly="0" labelOnly="1" grandRow="1" outline="0" fieldPosition="0"/>
    </format>
    <format dxfId="56">
      <pivotArea dataOnly="0" labelOnly="1" fieldPosition="0">
        <references count="1">
          <reference field="8" count="0"/>
        </references>
      </pivotArea>
    </format>
    <format dxfId="55">
      <pivotArea dataOnly="0" labelOnly="1" grandCol="1" outline="0" fieldPosition="0"/>
    </format>
    <format dxfId="54">
      <pivotArea grandCol="1" outline="0" collapsedLevelsAreSubtotals="1" fieldPosition="0"/>
    </format>
    <format dxfId="53">
      <pivotArea outline="0" collapsedLevelsAreSubtotals="1" fieldPosition="0">
        <references count="1">
          <reference field="8" count="1" selected="0">
            <x v="0"/>
          </reference>
        </references>
      </pivotArea>
    </format>
    <format dxfId="52">
      <pivotArea dataOnly="0" labelOnly="1" outline="0" fieldPosition="0">
        <references count="1">
          <reference field="2" count="0"/>
        </references>
      </pivotArea>
    </format>
    <format dxfId="51">
      <pivotArea field="8" type="button" dataOnly="0" labelOnly="1" outline="0" axis="axisCol" fieldPosition="0"/>
    </format>
    <format dxfId="50">
      <pivotArea dataOnly="0" labelOnly="1" fieldPosition="0">
        <references count="1">
          <reference field="8" count="1">
            <x v="0"/>
          </reference>
        </references>
      </pivotArea>
    </format>
    <format dxfId="49">
      <pivotArea outline="0" collapsedLevelsAreSubtotals="1" fieldPosition="0">
        <references count="1">
          <reference field="8" count="1" selected="0">
            <x v="1"/>
          </reference>
        </references>
      </pivotArea>
    </format>
    <format dxfId="48">
      <pivotArea type="topRight" dataOnly="0" labelOnly="1" outline="0" fieldPosition="0"/>
    </format>
    <format dxfId="47">
      <pivotArea dataOnly="0" labelOnly="1" fieldPosition="0">
        <references count="1">
          <reference field="8" count="1">
            <x v="1"/>
          </reference>
        </references>
      </pivotArea>
    </format>
    <format dxfId="46">
      <pivotArea outline="0" collapsedLevelsAreSubtotals="1" fieldPosition="0">
        <references count="1">
          <reference field="8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37" firstHeaderRow="1" firstDataRow="1" firstDataCol="1" rowPageCount="1" colPageCount="1"/>
  <pivotFields count="11">
    <pivotField numFmtId="165" showAll="0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Page" showAll="0">
      <items count="4">
        <item x="0"/>
        <item x="1"/>
        <item x="2"/>
        <item t="default"/>
      </items>
    </pivotField>
    <pivotField showAll="0"/>
    <pivotField dataField="1" numFmtId="164" showAll="0"/>
    <pivotField numFmtId="164" showAll="0"/>
    <pivotField showAll="0"/>
    <pivotField numFmtId="164"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10"/>
    <field x="9"/>
  </rowFields>
  <rowItems count="34">
    <i>
      <x/>
    </i>
    <i r="1">
      <x/>
    </i>
    <i r="1">
      <x v="1"/>
    </i>
    <i r="1">
      <x v="3"/>
    </i>
    <i r="1">
      <x v="5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 v="1"/>
    </i>
    <i r="1">
      <x v="3"/>
    </i>
    <i r="1">
      <x v="5"/>
    </i>
    <i>
      <x v="3"/>
    </i>
    <i r="1">
      <x v="5"/>
    </i>
    <i r="1">
      <x v="6"/>
    </i>
    <i r="1">
      <x v="7"/>
    </i>
    <i r="1">
      <x v="9"/>
    </i>
    <i r="1">
      <x v="10"/>
    </i>
    <i r="1">
      <x v="11"/>
    </i>
    <i t="grand">
      <x/>
    </i>
  </rowItems>
  <colItems count="1">
    <i/>
  </colItems>
  <pageFields count="1">
    <pageField fld="2" item="2" hier="-1"/>
  </pageFields>
  <dataFields count="1">
    <dataField name="Average of Rate " fld="4" subtotal="average" baseField="0" baseItem="0" numFmtId="164"/>
  </dataFields>
  <formats count="3">
    <format dxfId="45">
      <pivotArea outline="0" collapsedLevelsAreSubtotals="1" fieldPosition="0"/>
    </format>
    <format dxfId="44">
      <pivotArea dataOnly="0" labelOnly="1" outline="0" fieldPosition="0">
        <references count="1">
          <reference field="2" count="1">
            <x v="0"/>
          </reference>
        </references>
      </pivotArea>
    </format>
    <format dxfId="4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D90" firstHeaderRow="0" firstDataRow="1" firstDataCol="1" rowPageCount="1" colPageCount="1"/>
  <pivotFields count="11">
    <pivotField numFmtId="165" showAll="0"/>
    <pivotField axis="axisRow" showAll="0">
      <items count="94">
        <item m="1" x="92"/>
        <item x="17"/>
        <item x="81"/>
        <item x="42"/>
        <item x="43"/>
        <item x="12"/>
        <item m="1" x="91"/>
        <item x="11"/>
        <item h="1" x="74"/>
        <item x="30"/>
        <item x="69"/>
        <item x="48"/>
        <item x="6"/>
        <item x="27"/>
        <item x="7"/>
        <item m="1" x="90"/>
        <item x="33"/>
        <item x="20"/>
        <item x="19"/>
        <item x="51"/>
        <item x="58"/>
        <item x="53"/>
        <item x="73"/>
        <item x="66"/>
        <item x="9"/>
        <item x="10"/>
        <item x="38"/>
        <item x="37"/>
        <item x="56"/>
        <item x="54"/>
        <item x="55"/>
        <item x="44"/>
        <item x="63"/>
        <item x="87"/>
        <item x="79"/>
        <item x="85"/>
        <item x="75"/>
        <item x="64"/>
        <item x="29"/>
        <item x="83"/>
        <item x="67"/>
        <item x="86"/>
        <item x="80"/>
        <item x="3"/>
        <item x="36"/>
        <item m="1" x="88"/>
        <item m="1" x="89"/>
        <item x="52"/>
        <item x="25"/>
        <item x="14"/>
        <item x="24"/>
        <item x="35"/>
        <item x="50"/>
        <item x="0"/>
        <item x="61"/>
        <item x="62"/>
        <item x="49"/>
        <item x="78"/>
        <item x="18"/>
        <item x="72"/>
        <item x="28"/>
        <item x="46"/>
        <item x="5"/>
        <item x="23"/>
        <item x="39"/>
        <item x="31"/>
        <item x="60"/>
        <item x="32"/>
        <item x="45"/>
        <item x="65"/>
        <item x="41"/>
        <item x="47"/>
        <item x="82"/>
        <item x="1"/>
        <item x="70"/>
        <item x="4"/>
        <item x="84"/>
        <item x="57"/>
        <item x="22"/>
        <item x="76"/>
        <item x="68"/>
        <item x="15"/>
        <item x="13"/>
        <item x="2"/>
        <item x="71"/>
        <item x="59"/>
        <item x="8"/>
        <item x="16"/>
        <item x="34"/>
        <item x="40"/>
        <item x="21"/>
        <item h="1" x="77"/>
        <item x="26"/>
        <item t="default"/>
      </items>
    </pivotField>
    <pivotField axis="axisPage" multipleItemSelectionAllowed="1" showAll="0">
      <items count="4">
        <item x="0"/>
        <item x="1"/>
        <item x="2"/>
        <item t="default"/>
      </items>
    </pivotField>
    <pivotField dataField="1" showAll="0"/>
    <pivotField dataField="1" numFmtId="164" showAll="0"/>
    <pivotField numFmtId="164" showAll="0"/>
    <pivotField showAll="0"/>
    <pivotField dataField="1" numFmtId="164" showAll="0"/>
    <pivotField showAll="0"/>
    <pivotField showAll="0"/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87">
    <i>
      <x v="1"/>
    </i>
    <i>
      <x v="2"/>
    </i>
    <i>
      <x v="3"/>
    </i>
    <i>
      <x v="4"/>
    </i>
    <i>
      <x v="5"/>
    </i>
    <i>
      <x v="7"/>
    </i>
    <i>
      <x v="9"/>
    </i>
    <i>
      <x v="10"/>
    </i>
    <i>
      <x v="11"/>
    </i>
    <i>
      <x v="12"/>
    </i>
    <i>
      <x v="13"/>
    </i>
    <i>
      <x v="14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hier="-1"/>
  </pageFields>
  <dataFields count="3">
    <dataField name="Sum of Qty Sold" fld="3" baseField="0" baseItem="0" numFmtId="166"/>
    <dataField name="Sum of Rate " fld="4" baseField="0" baseItem="0"/>
    <dataField name="Sum of Revenue" fld="7" baseField="0" baseItem="0" numFmtId="164"/>
  </dataFields>
  <formats count="12">
    <format dxfId="42">
      <pivotArea type="all" dataOnly="0" outline="0" fieldPosition="0"/>
    </format>
    <format dxfId="41">
      <pivotArea outline="0" collapsedLevelsAreSubtotals="1" fieldPosition="0"/>
    </format>
    <format dxfId="40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9">
      <pivotArea dataOnly="0" labelOnly="1" fieldPosition="0">
        <references count="1">
          <reference field="1" count="42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</reference>
        </references>
      </pivotArea>
    </format>
    <format dxfId="38">
      <pivotArea dataOnly="0" labelOnly="1" grandRow="1" outline="0" fieldPosition="0"/>
    </format>
    <format dxfId="37">
      <pivotArea dataOnly="0" labelOnly="1" grandCol="1" outline="0" fieldPosition="0"/>
    </format>
    <format dxfId="3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3">
      <pivotArea dataOnly="0" labelOnly="1" outline="0" fieldPosition="0">
        <references count="1">
          <reference field="2" count="0"/>
        </references>
      </pivotArea>
    </format>
    <format dxfId="3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1">
      <pivotArea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D92" firstHeaderRow="0" firstDataRow="1" firstDataCol="1" rowPageCount="1" colPageCount="1"/>
  <pivotFields count="11">
    <pivotField numFmtId="165" showAll="0"/>
    <pivotField axis="axisRow" showAll="0">
      <items count="94">
        <item m="1" x="92"/>
        <item x="17"/>
        <item x="81"/>
        <item x="42"/>
        <item x="43"/>
        <item x="12"/>
        <item m="1" x="91"/>
        <item x="11"/>
        <item x="74"/>
        <item x="30"/>
        <item x="69"/>
        <item x="48"/>
        <item x="6"/>
        <item x="27"/>
        <item x="7"/>
        <item m="1" x="90"/>
        <item x="33"/>
        <item x="20"/>
        <item x="19"/>
        <item x="51"/>
        <item x="58"/>
        <item x="53"/>
        <item x="73"/>
        <item x="66"/>
        <item x="9"/>
        <item x="10"/>
        <item x="38"/>
        <item x="37"/>
        <item x="56"/>
        <item x="54"/>
        <item x="55"/>
        <item x="44"/>
        <item x="63"/>
        <item x="87"/>
        <item x="79"/>
        <item x="85"/>
        <item x="75"/>
        <item x="64"/>
        <item x="29"/>
        <item x="83"/>
        <item x="67"/>
        <item x="86"/>
        <item x="80"/>
        <item x="3"/>
        <item x="36"/>
        <item m="1" x="88"/>
        <item m="1" x="89"/>
        <item x="52"/>
        <item x="25"/>
        <item x="14"/>
        <item x="24"/>
        <item x="35"/>
        <item x="50"/>
        <item x="0"/>
        <item x="61"/>
        <item x="62"/>
        <item x="49"/>
        <item x="78"/>
        <item x="18"/>
        <item x="72"/>
        <item x="28"/>
        <item x="46"/>
        <item x="5"/>
        <item x="23"/>
        <item x="39"/>
        <item x="31"/>
        <item x="60"/>
        <item x="32"/>
        <item x="45"/>
        <item x="65"/>
        <item x="41"/>
        <item x="47"/>
        <item x="82"/>
        <item x="1"/>
        <item x="70"/>
        <item x="4"/>
        <item x="84"/>
        <item x="57"/>
        <item x="22"/>
        <item x="76"/>
        <item x="68"/>
        <item x="15"/>
        <item x="13"/>
        <item x="2"/>
        <item x="71"/>
        <item x="59"/>
        <item x="8"/>
        <item x="16"/>
        <item x="34"/>
        <item x="40"/>
        <item x="21"/>
        <item x="77"/>
        <item x="26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64" showAll="0"/>
    <pivotField dataField="1" numFmtId="164" showAll="0"/>
    <pivotField dataField="1" showAll="0"/>
    <pivotField dataField="1" numFmtId="164" showAll="0"/>
    <pivotField showAll="0"/>
    <pivotField showAll="0"/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89"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hier="-1"/>
  </pageFields>
  <dataFields count="3">
    <dataField name="Sum of Amount" fld="5" baseField="0" baseItem="0" numFmtId="164"/>
    <dataField name="Sum of Bad Debt" fld="6" baseField="1" baseItem="0"/>
    <dataField name="Sum of Revenue" fld="7" baseField="0" baseItem="0"/>
  </dataFields>
  <formats count="13">
    <format dxfId="30">
      <pivotArea field="1" type="button" dataOnly="0" labelOnly="1" outline="0" axis="axisRow" fieldPosition="0"/>
    </format>
    <format dxfId="29">
      <pivotArea dataOnly="0" labelOnly="1" grandCol="1" outline="0" fieldPosition="0"/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1" count="17">
            <x v="2"/>
            <x v="3"/>
            <x v="8"/>
            <x v="9"/>
            <x v="43"/>
            <x v="44"/>
            <x v="48"/>
            <x v="49"/>
            <x v="58"/>
            <x v="60"/>
            <x v="73"/>
            <x v="75"/>
            <x v="76"/>
            <x v="82"/>
            <x v="85"/>
            <x v="90"/>
            <x v="91"/>
          </reference>
        </references>
      </pivotArea>
    </format>
    <format dxfId="25">
      <pivotArea dataOnly="0" labelOnly="1" grandRow="1" outline="0" fieldPosition="0"/>
    </format>
    <format dxfId="24">
      <pivotArea dataOnly="0" labelOnly="1" grandCol="1" outline="0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dataOnly="0" labelOnly="1" fieldPosition="0">
        <references count="1">
          <reference field="1" count="17">
            <x v="2"/>
            <x v="3"/>
            <x v="8"/>
            <x v="9"/>
            <x v="43"/>
            <x v="44"/>
            <x v="48"/>
            <x v="49"/>
            <x v="58"/>
            <x v="60"/>
            <x v="73"/>
            <x v="75"/>
            <x v="76"/>
            <x v="82"/>
            <x v="85"/>
            <x v="90"/>
            <x v="91"/>
          </reference>
        </references>
      </pivotArea>
    </format>
    <format dxfId="20">
      <pivotArea dataOnly="0" labelOnly="1" grandRow="1" outline="0" fieldPosition="0"/>
    </format>
    <format dxfId="19">
      <pivotArea dataOnly="0" labelOnly="1" grandCol="1" outline="0" fieldPosition="0"/>
    </format>
    <format dxfId="18">
      <pivotArea collapsedLevelsAreSubtotals="1" fieldPosition="0">
        <references count="2">
          <reference field="4294967294" count="1" selected="0">
            <x v="1"/>
          </reference>
          <reference field="1" count="1">
            <x v="7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2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6">
  <location ref="A3:H58" firstHeaderRow="0" firstDataRow="1" firstDataCol="1"/>
  <pivotFields count="22">
    <pivotField axis="axisRow" numFmtId="17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21"/>
    <field x="0"/>
  </rowFields>
  <rowItems count="55">
    <i>
      <x/>
    </i>
    <i r="1">
      <x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3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>
      <x v="4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6 Inches Qty" fld="1" baseField="0" baseItem="5" numFmtId="166"/>
    <dataField name="Sum of 7 Inches Qty" fld="2" baseField="0" baseItem="5" numFmtId="166"/>
    <dataField name="Sum of 9 Inches Qty" fld="3" baseField="0" baseItem="5" numFmtId="166"/>
    <dataField name="Sum of Total Qty Produced" fld="4" baseField="0" baseItem="5" numFmtId="166"/>
    <dataField name="Sum of Total Revenue" fld="16" baseField="20" baseItem="0" numFmtId="164"/>
    <dataField name="Sum of Total Cost" fld="17" baseField="0" baseItem="5"/>
    <dataField name="Sum of Total Profit" fld="18" baseField="0" baseItem="5"/>
  </dataFields>
  <formats count="4">
    <format dxfId="17">
      <pivotArea outline="0" collapsedLevelsAreSubtotals="1" fieldPosition="0"/>
    </format>
    <format dxfId="16">
      <pivotArea dataOnly="0" labelOnly="1" outline="0" axis="axisValues" fieldPosition="0"/>
    </format>
    <format dxfId="15">
      <pivotArea outline="0" collapsedLevelsAreSubtotals="1" fieldPosition="0">
        <references count="1">
          <reference field="4294967294" count="4" selected="0">
            <x v="0"/>
            <x v="1"/>
            <x v="2"/>
            <x v="3"/>
          </reference>
        </references>
      </pivotArea>
    </format>
    <format dxfId="1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7" firstHeaderRow="0" firstDataRow="1" firstDataCol="1"/>
  <pivotFields count="11">
    <pivotField numFmtId="14"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numFmtId="164" showAll="0"/>
    <pivotField numFmtId="164" showAll="0"/>
    <pivotField showAll="0"/>
    <pivotField dataField="1" numFmtId="164" showAll="0"/>
    <pivotField showAll="0"/>
    <pivotField showAll="0"/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 Sold" fld="3" baseField="0" baseItem="0" numFmtId="166"/>
    <dataField name="Sum of Revenue" fld="7" baseField="0" baseItem="0" numFmtId="164"/>
  </dataFields>
  <formats count="4">
    <format dxfId="9">
      <pivotArea outline="0" collapsedLevelsAreSubtotals="1" fieldPosition="0"/>
    </format>
    <format dxfId="8">
      <pivotArea dataOnly="0" labelOnly="1" outline="0" axis="axisValues" fieldPosition="0"/>
    </format>
    <format dxfId="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9">
  <location ref="A18:B23" firstHeaderRow="1" firstDataRow="1" firstDataCol="1"/>
  <pivotFields count="11">
    <pivotField numFmtId="14" showAll="0">
      <items count="163">
        <item x="127"/>
        <item x="13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8"/>
        <item x="129"/>
        <item x="130"/>
        <item x="131"/>
        <item x="132"/>
        <item x="133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numFmtId="164" showAll="0"/>
    <pivotField numFmtId="164" showAll="0"/>
    <pivotField showAll="0"/>
    <pivotField dataField="1" numFmtId="164"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7" baseField="0" baseItem="0" numFmtId="164"/>
  </dataFields>
  <formats count="4">
    <format dxfId="13">
      <pivotArea outline="0" collapsedLevelsAreSubtotals="1" fieldPosition="0"/>
    </format>
    <format dxfId="12">
      <pivotArea dataOnly="0" labelOnly="1" outline="0" axis="axisValues" fieldPosition="0"/>
    </format>
    <format dxfId="1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0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5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0"/>
  <sheetViews>
    <sheetView topLeftCell="A2" workbookViewId="0">
      <selection activeCell="C182" sqref="C182"/>
    </sheetView>
  </sheetViews>
  <sheetFormatPr defaultRowHeight="15" x14ac:dyDescent="0.25"/>
  <cols>
    <col min="1" max="1" width="13" style="113" customWidth="1"/>
    <col min="2" max="2" width="24.5703125" style="106" customWidth="1"/>
    <col min="3" max="3" width="13.85546875" style="106" customWidth="1"/>
    <col min="4" max="4" width="9.140625" style="106"/>
    <col min="5" max="5" width="7" style="7" bestFit="1" customWidth="1"/>
    <col min="6" max="6" width="11.5703125" style="7" bestFit="1" customWidth="1"/>
    <col min="7" max="7" width="10.140625" style="7" customWidth="1"/>
    <col min="8" max="8" width="12.140625" style="106" customWidth="1"/>
    <col min="9" max="9" width="12.5703125" style="106" customWidth="1"/>
    <col min="10" max="10" width="13" style="106" customWidth="1"/>
    <col min="11" max="11" width="11" style="106" customWidth="1"/>
    <col min="12" max="13" width="9.140625" style="106"/>
    <col min="14" max="14" width="10.5703125" style="106" bestFit="1" customWidth="1"/>
    <col min="15" max="16384" width="9.140625" style="106"/>
  </cols>
  <sheetData>
    <row r="1" spans="1:12" s="175" customFormat="1" ht="15.75" x14ac:dyDescent="0.25">
      <c r="A1" s="99" t="s">
        <v>153</v>
      </c>
      <c r="B1" s="100" t="s">
        <v>10</v>
      </c>
      <c r="C1" s="100" t="s">
        <v>11</v>
      </c>
      <c r="D1" s="100" t="s">
        <v>1</v>
      </c>
      <c r="E1" s="101" t="s">
        <v>28</v>
      </c>
      <c r="F1" s="101" t="s">
        <v>38</v>
      </c>
      <c r="G1" s="101" t="s">
        <v>7</v>
      </c>
      <c r="H1" s="101" t="s">
        <v>2</v>
      </c>
      <c r="I1" s="100" t="s">
        <v>148</v>
      </c>
      <c r="J1" s="100" t="s">
        <v>149</v>
      </c>
      <c r="K1" s="100" t="s">
        <v>150</v>
      </c>
      <c r="L1" s="100"/>
    </row>
    <row r="2" spans="1:12" x14ac:dyDescent="0.25">
      <c r="A2" s="113">
        <v>44569</v>
      </c>
      <c r="B2" s="106" t="s">
        <v>27</v>
      </c>
      <c r="C2" s="106" t="s">
        <v>19</v>
      </c>
      <c r="D2" s="106">
        <v>224</v>
      </c>
      <c r="E2" s="7">
        <v>250</v>
      </c>
      <c r="F2" s="7">
        <f t="shared" ref="F2:F65" si="0">D2*E2</f>
        <v>56000</v>
      </c>
      <c r="H2" s="7">
        <v>56000</v>
      </c>
      <c r="I2" s="106" t="s">
        <v>116</v>
      </c>
      <c r="J2" s="106" t="s">
        <v>123</v>
      </c>
      <c r="K2" s="106">
        <v>2022</v>
      </c>
    </row>
    <row r="3" spans="1:12" x14ac:dyDescent="0.25">
      <c r="A3" s="113">
        <v>44573</v>
      </c>
      <c r="B3" s="106" t="s">
        <v>49</v>
      </c>
      <c r="C3" s="106" t="s">
        <v>18</v>
      </c>
      <c r="D3" s="106">
        <v>300</v>
      </c>
      <c r="E3" s="7">
        <v>260</v>
      </c>
      <c r="F3" s="7">
        <f t="shared" si="0"/>
        <v>78000</v>
      </c>
      <c r="H3" s="7">
        <v>78000</v>
      </c>
      <c r="I3" s="106" t="s">
        <v>117</v>
      </c>
      <c r="J3" s="106" t="s">
        <v>123</v>
      </c>
      <c r="K3" s="106">
        <v>2022</v>
      </c>
    </row>
    <row r="4" spans="1:12" x14ac:dyDescent="0.25">
      <c r="A4" s="113">
        <v>44590</v>
      </c>
      <c r="B4" s="113" t="s">
        <v>29</v>
      </c>
      <c r="C4" s="106" t="s">
        <v>17</v>
      </c>
      <c r="D4" s="106">
        <v>250</v>
      </c>
      <c r="E4" s="7">
        <v>295</v>
      </c>
      <c r="F4" s="7">
        <f t="shared" si="0"/>
        <v>73750</v>
      </c>
      <c r="H4" s="7">
        <v>73750</v>
      </c>
      <c r="I4" s="106" t="s">
        <v>116</v>
      </c>
      <c r="J4" s="106" t="s">
        <v>123</v>
      </c>
      <c r="K4" s="106">
        <v>2022</v>
      </c>
    </row>
    <row r="5" spans="1:12" x14ac:dyDescent="0.25">
      <c r="A5" s="113">
        <v>44592</v>
      </c>
      <c r="B5" s="113" t="s">
        <v>29</v>
      </c>
      <c r="C5" s="106" t="s">
        <v>19</v>
      </c>
      <c r="D5" s="106">
        <v>500</v>
      </c>
      <c r="E5" s="7">
        <v>265</v>
      </c>
      <c r="F5" s="7">
        <f t="shared" si="0"/>
        <v>132500</v>
      </c>
      <c r="H5" s="7">
        <v>132500</v>
      </c>
      <c r="I5" s="7" t="s">
        <v>118</v>
      </c>
      <c r="J5" s="106" t="s">
        <v>123</v>
      </c>
      <c r="K5" s="106">
        <v>2022</v>
      </c>
    </row>
    <row r="6" spans="1:12" x14ac:dyDescent="0.25">
      <c r="A6" s="113">
        <v>44593</v>
      </c>
      <c r="B6" s="106" t="s">
        <v>30</v>
      </c>
      <c r="C6" s="106" t="s">
        <v>19</v>
      </c>
      <c r="D6" s="106">
        <v>400</v>
      </c>
      <c r="E6" s="7">
        <v>260</v>
      </c>
      <c r="F6" s="7">
        <f t="shared" si="0"/>
        <v>104000</v>
      </c>
      <c r="G6" s="7">
        <v>1000</v>
      </c>
      <c r="H6" s="7">
        <v>103000</v>
      </c>
      <c r="I6" s="106" t="s">
        <v>119</v>
      </c>
      <c r="J6" s="106" t="s">
        <v>124</v>
      </c>
      <c r="K6" s="106">
        <v>2022</v>
      </c>
    </row>
    <row r="7" spans="1:12" x14ac:dyDescent="0.25">
      <c r="A7" s="113">
        <v>44596</v>
      </c>
      <c r="B7" s="106" t="s">
        <v>49</v>
      </c>
      <c r="C7" s="106" t="s">
        <v>18</v>
      </c>
      <c r="D7" s="106">
        <v>150</v>
      </c>
      <c r="E7" s="7">
        <v>275</v>
      </c>
      <c r="F7" s="7">
        <f t="shared" si="0"/>
        <v>41250</v>
      </c>
      <c r="G7" s="7">
        <v>250</v>
      </c>
      <c r="H7" s="7">
        <v>41000</v>
      </c>
      <c r="I7" s="106" t="s">
        <v>120</v>
      </c>
      <c r="J7" s="106" t="s">
        <v>124</v>
      </c>
      <c r="K7" s="106">
        <v>2022</v>
      </c>
    </row>
    <row r="8" spans="1:12" x14ac:dyDescent="0.25">
      <c r="A8" s="113">
        <v>44597</v>
      </c>
      <c r="B8" s="106" t="s">
        <v>31</v>
      </c>
      <c r="C8" s="106" t="s">
        <v>19</v>
      </c>
      <c r="D8" s="106">
        <v>12</v>
      </c>
      <c r="E8" s="7">
        <v>270</v>
      </c>
      <c r="F8" s="7">
        <f t="shared" si="0"/>
        <v>3240</v>
      </c>
      <c r="G8" s="7">
        <v>140</v>
      </c>
      <c r="H8" s="7">
        <v>3100</v>
      </c>
      <c r="I8" s="106" t="s">
        <v>116</v>
      </c>
      <c r="J8" s="106" t="s">
        <v>124</v>
      </c>
      <c r="K8" s="106">
        <v>2022</v>
      </c>
    </row>
    <row r="9" spans="1:12" x14ac:dyDescent="0.25">
      <c r="A9" s="113">
        <v>44600</v>
      </c>
      <c r="B9" s="106" t="s">
        <v>32</v>
      </c>
      <c r="C9" s="106" t="s">
        <v>19</v>
      </c>
      <c r="D9" s="106">
        <v>150</v>
      </c>
      <c r="E9" s="7">
        <v>260</v>
      </c>
      <c r="F9" s="7">
        <f t="shared" si="0"/>
        <v>39000</v>
      </c>
      <c r="H9" s="7">
        <v>39000</v>
      </c>
      <c r="I9" s="106" t="s">
        <v>119</v>
      </c>
      <c r="J9" s="106" t="s">
        <v>124</v>
      </c>
      <c r="K9" s="106">
        <v>2022</v>
      </c>
    </row>
    <row r="10" spans="1:12" x14ac:dyDescent="0.25">
      <c r="A10" s="113">
        <v>44607</v>
      </c>
      <c r="B10" s="106" t="s">
        <v>33</v>
      </c>
      <c r="C10" s="106" t="s">
        <v>19</v>
      </c>
      <c r="D10" s="106">
        <v>25</v>
      </c>
      <c r="E10" s="7">
        <v>250</v>
      </c>
      <c r="F10" s="7">
        <f t="shared" si="0"/>
        <v>6250</v>
      </c>
      <c r="H10" s="7">
        <v>6250</v>
      </c>
      <c r="I10" s="106" t="s">
        <v>119</v>
      </c>
      <c r="J10" s="106" t="s">
        <v>124</v>
      </c>
      <c r="K10" s="106">
        <v>2022</v>
      </c>
    </row>
    <row r="11" spans="1:12" x14ac:dyDescent="0.25">
      <c r="A11" s="113">
        <v>44608</v>
      </c>
      <c r="B11" s="106" t="s">
        <v>34</v>
      </c>
      <c r="C11" s="106" t="s">
        <v>18</v>
      </c>
      <c r="D11" s="106">
        <v>400</v>
      </c>
      <c r="E11" s="7">
        <v>280</v>
      </c>
      <c r="F11" s="7">
        <f t="shared" si="0"/>
        <v>112000</v>
      </c>
      <c r="H11" s="7">
        <v>112000</v>
      </c>
      <c r="I11" s="106" t="s">
        <v>117</v>
      </c>
      <c r="J11" s="106" t="s">
        <v>124</v>
      </c>
      <c r="K11" s="106">
        <v>2022</v>
      </c>
    </row>
    <row r="12" spans="1:12" x14ac:dyDescent="0.25">
      <c r="A12" s="113">
        <v>44611</v>
      </c>
      <c r="B12" s="106" t="s">
        <v>35</v>
      </c>
      <c r="C12" s="106" t="s">
        <v>19</v>
      </c>
      <c r="D12" s="106">
        <v>4</v>
      </c>
      <c r="E12" s="7">
        <v>250</v>
      </c>
      <c r="F12" s="7">
        <f t="shared" si="0"/>
        <v>1000</v>
      </c>
      <c r="H12" s="7">
        <v>1000</v>
      </c>
      <c r="I12" s="106" t="s">
        <v>116</v>
      </c>
      <c r="J12" s="106" t="s">
        <v>124</v>
      </c>
      <c r="K12" s="106">
        <v>2022</v>
      </c>
    </row>
    <row r="13" spans="1:12" x14ac:dyDescent="0.25">
      <c r="A13" s="113">
        <v>44616</v>
      </c>
      <c r="B13" s="106" t="s">
        <v>33</v>
      </c>
      <c r="C13" s="106" t="s">
        <v>17</v>
      </c>
      <c r="D13" s="106">
        <v>130</v>
      </c>
      <c r="E13" s="7">
        <v>300</v>
      </c>
      <c r="F13" s="7">
        <f t="shared" si="0"/>
        <v>39000</v>
      </c>
      <c r="H13" s="7">
        <v>39000</v>
      </c>
      <c r="I13" s="106" t="s">
        <v>121</v>
      </c>
      <c r="J13" s="106" t="s">
        <v>124</v>
      </c>
      <c r="K13" s="106">
        <v>2022</v>
      </c>
    </row>
    <row r="14" spans="1:12" x14ac:dyDescent="0.25">
      <c r="A14" s="113">
        <v>44620</v>
      </c>
      <c r="B14" s="106" t="s">
        <v>36</v>
      </c>
      <c r="C14" s="106" t="s">
        <v>17</v>
      </c>
      <c r="D14" s="106">
        <v>12</v>
      </c>
      <c r="E14" s="7">
        <v>300</v>
      </c>
      <c r="F14" s="7">
        <f t="shared" si="0"/>
        <v>3600</v>
      </c>
      <c r="H14" s="7">
        <v>3600</v>
      </c>
      <c r="I14" s="7" t="s">
        <v>118</v>
      </c>
      <c r="J14" s="106" t="s">
        <v>124</v>
      </c>
      <c r="K14" s="106">
        <v>2022</v>
      </c>
    </row>
    <row r="15" spans="1:12" x14ac:dyDescent="0.25">
      <c r="A15" s="113">
        <v>44623</v>
      </c>
      <c r="B15" s="106" t="s">
        <v>37</v>
      </c>
      <c r="C15" s="106" t="s">
        <v>19</v>
      </c>
      <c r="D15" s="106">
        <v>2</v>
      </c>
      <c r="E15" s="7">
        <v>300</v>
      </c>
      <c r="F15" s="7">
        <f t="shared" si="0"/>
        <v>600</v>
      </c>
      <c r="H15" s="7">
        <v>600</v>
      </c>
      <c r="I15" s="106" t="s">
        <v>121</v>
      </c>
      <c r="J15" s="106" t="s">
        <v>125</v>
      </c>
      <c r="K15" s="106">
        <v>2022</v>
      </c>
    </row>
    <row r="16" spans="1:12" x14ac:dyDescent="0.25">
      <c r="A16" s="113">
        <v>44625</v>
      </c>
      <c r="B16" s="106" t="s">
        <v>34</v>
      </c>
      <c r="C16" s="106" t="s">
        <v>18</v>
      </c>
      <c r="D16" s="106">
        <v>50</v>
      </c>
      <c r="E16" s="7">
        <v>330</v>
      </c>
      <c r="F16" s="7">
        <f t="shared" si="0"/>
        <v>16500</v>
      </c>
      <c r="H16" s="7">
        <v>16500</v>
      </c>
      <c r="I16" s="106" t="s">
        <v>116</v>
      </c>
      <c r="J16" s="106" t="s">
        <v>125</v>
      </c>
      <c r="K16" s="106">
        <v>2022</v>
      </c>
    </row>
    <row r="17" spans="1:11" x14ac:dyDescent="0.25">
      <c r="A17" s="113">
        <v>44632</v>
      </c>
      <c r="B17" s="106" t="s">
        <v>34</v>
      </c>
      <c r="C17" s="106" t="s">
        <v>18</v>
      </c>
      <c r="D17" s="106">
        <v>50</v>
      </c>
      <c r="E17" s="7">
        <v>330</v>
      </c>
      <c r="F17" s="7">
        <f t="shared" si="0"/>
        <v>16500</v>
      </c>
      <c r="H17" s="7">
        <v>16500</v>
      </c>
      <c r="I17" s="106" t="s">
        <v>116</v>
      </c>
      <c r="J17" s="106" t="s">
        <v>125</v>
      </c>
      <c r="K17" s="106">
        <v>2022</v>
      </c>
    </row>
    <row r="18" spans="1:11" x14ac:dyDescent="0.25">
      <c r="A18" s="113">
        <v>44638</v>
      </c>
      <c r="B18" s="106" t="s">
        <v>49</v>
      </c>
      <c r="C18" s="106" t="s">
        <v>18</v>
      </c>
      <c r="D18" s="106">
        <v>500</v>
      </c>
      <c r="E18" s="7">
        <v>320</v>
      </c>
      <c r="F18" s="7">
        <f t="shared" si="0"/>
        <v>160000</v>
      </c>
      <c r="H18" s="7">
        <v>160000</v>
      </c>
      <c r="I18" s="7" t="s">
        <v>120</v>
      </c>
      <c r="J18" s="106" t="s">
        <v>125</v>
      </c>
      <c r="K18" s="106">
        <v>2022</v>
      </c>
    </row>
    <row r="19" spans="1:11" x14ac:dyDescent="0.25">
      <c r="A19" s="113">
        <v>44648</v>
      </c>
      <c r="B19" s="106" t="s">
        <v>49</v>
      </c>
      <c r="C19" s="106" t="s">
        <v>18</v>
      </c>
      <c r="D19" s="106">
        <v>200</v>
      </c>
      <c r="E19" s="7">
        <v>320</v>
      </c>
      <c r="F19" s="7">
        <f t="shared" si="0"/>
        <v>64000</v>
      </c>
      <c r="H19" s="7">
        <v>64000</v>
      </c>
      <c r="I19" s="7" t="s">
        <v>118</v>
      </c>
      <c r="J19" s="106" t="s">
        <v>125</v>
      </c>
      <c r="K19" s="106">
        <v>2022</v>
      </c>
    </row>
    <row r="20" spans="1:11" x14ac:dyDescent="0.25">
      <c r="A20" s="104">
        <v>44652</v>
      </c>
      <c r="B20" s="105" t="s">
        <v>49</v>
      </c>
      <c r="C20" s="106" t="s">
        <v>18</v>
      </c>
      <c r="D20" s="105">
        <v>200</v>
      </c>
      <c r="E20" s="102">
        <v>320</v>
      </c>
      <c r="F20" s="7">
        <f t="shared" si="0"/>
        <v>64000</v>
      </c>
      <c r="G20" s="102"/>
      <c r="H20" s="7">
        <v>64000</v>
      </c>
      <c r="I20" s="106" t="s">
        <v>120</v>
      </c>
      <c r="J20" s="106" t="s">
        <v>126</v>
      </c>
      <c r="K20" s="106">
        <v>2022</v>
      </c>
    </row>
    <row r="21" spans="1:11" x14ac:dyDescent="0.25">
      <c r="A21" s="104">
        <v>44665</v>
      </c>
      <c r="B21" s="105" t="s">
        <v>49</v>
      </c>
      <c r="C21" s="106" t="s">
        <v>18</v>
      </c>
      <c r="D21" s="105">
        <v>500</v>
      </c>
      <c r="E21" s="102">
        <v>320</v>
      </c>
      <c r="F21" s="7">
        <f t="shared" si="0"/>
        <v>160000</v>
      </c>
      <c r="G21" s="102"/>
      <c r="H21" s="7">
        <v>160000</v>
      </c>
      <c r="I21" s="105" t="s">
        <v>121</v>
      </c>
      <c r="J21" s="106" t="s">
        <v>126</v>
      </c>
      <c r="K21" s="106">
        <v>2022</v>
      </c>
    </row>
    <row r="22" spans="1:11" x14ac:dyDescent="0.25">
      <c r="A22" s="104">
        <v>44665</v>
      </c>
      <c r="B22" s="105" t="s">
        <v>39</v>
      </c>
      <c r="C22" s="106" t="s">
        <v>17</v>
      </c>
      <c r="D22" s="105">
        <v>700</v>
      </c>
      <c r="E22" s="102">
        <v>340</v>
      </c>
      <c r="F22" s="7">
        <f t="shared" si="0"/>
        <v>238000</v>
      </c>
      <c r="G22" s="102"/>
      <c r="H22" s="7">
        <v>238000</v>
      </c>
      <c r="I22" s="106" t="s">
        <v>121</v>
      </c>
      <c r="J22" s="106" t="s">
        <v>126</v>
      </c>
      <c r="K22" s="106">
        <v>2022</v>
      </c>
    </row>
    <row r="23" spans="1:11" x14ac:dyDescent="0.25">
      <c r="A23" s="104">
        <v>44674</v>
      </c>
      <c r="B23" s="105" t="s">
        <v>40</v>
      </c>
      <c r="C23" s="106" t="s">
        <v>17</v>
      </c>
      <c r="D23" s="105">
        <v>100</v>
      </c>
      <c r="E23" s="102">
        <v>400</v>
      </c>
      <c r="F23" s="7">
        <f t="shared" si="0"/>
        <v>40000</v>
      </c>
      <c r="G23" s="102"/>
      <c r="H23" s="7">
        <v>40000</v>
      </c>
      <c r="I23" s="106" t="s">
        <v>116</v>
      </c>
      <c r="J23" s="106" t="s">
        <v>126</v>
      </c>
      <c r="K23" s="106">
        <v>2022</v>
      </c>
    </row>
    <row r="24" spans="1:11" x14ac:dyDescent="0.25">
      <c r="A24" s="104">
        <v>44674</v>
      </c>
      <c r="B24" s="105" t="s">
        <v>40</v>
      </c>
      <c r="C24" s="106" t="s">
        <v>18</v>
      </c>
      <c r="D24" s="105">
        <v>60</v>
      </c>
      <c r="E24" s="102">
        <v>330</v>
      </c>
      <c r="F24" s="7">
        <f t="shared" si="0"/>
        <v>19800</v>
      </c>
      <c r="G24" s="102"/>
      <c r="H24" s="7">
        <v>19800</v>
      </c>
      <c r="I24" s="7" t="s">
        <v>116</v>
      </c>
      <c r="J24" s="106" t="s">
        <v>126</v>
      </c>
      <c r="K24" s="106">
        <v>2022</v>
      </c>
    </row>
    <row r="25" spans="1:11" x14ac:dyDescent="0.25">
      <c r="A25" s="104">
        <v>44690</v>
      </c>
      <c r="B25" s="105" t="s">
        <v>41</v>
      </c>
      <c r="C25" s="106" t="s">
        <v>19</v>
      </c>
      <c r="D25" s="105">
        <v>16</v>
      </c>
      <c r="E25" s="102">
        <v>300</v>
      </c>
      <c r="F25" s="7">
        <f t="shared" si="0"/>
        <v>4800</v>
      </c>
      <c r="G25" s="102">
        <v>4300</v>
      </c>
      <c r="H25" s="7">
        <v>500</v>
      </c>
      <c r="I25" s="106" t="s">
        <v>118</v>
      </c>
      <c r="J25" s="106" t="s">
        <v>127</v>
      </c>
      <c r="K25" s="106">
        <v>2022</v>
      </c>
    </row>
    <row r="26" spans="1:11" x14ac:dyDescent="0.25">
      <c r="A26" s="104">
        <v>44693</v>
      </c>
      <c r="B26" s="105" t="s">
        <v>49</v>
      </c>
      <c r="C26" s="106" t="s">
        <v>18</v>
      </c>
      <c r="D26" s="105">
        <v>60</v>
      </c>
      <c r="E26" s="102">
        <v>320</v>
      </c>
      <c r="F26" s="7">
        <f t="shared" si="0"/>
        <v>19200</v>
      </c>
      <c r="G26" s="102"/>
      <c r="H26" s="7">
        <v>19200</v>
      </c>
      <c r="I26" s="106" t="s">
        <v>121</v>
      </c>
      <c r="J26" s="106" t="s">
        <v>127</v>
      </c>
      <c r="K26" s="106">
        <v>2022</v>
      </c>
    </row>
    <row r="27" spans="1:11" x14ac:dyDescent="0.25">
      <c r="A27" s="104">
        <v>44711</v>
      </c>
      <c r="B27" s="105" t="s">
        <v>49</v>
      </c>
      <c r="C27" s="106" t="s">
        <v>18</v>
      </c>
      <c r="D27" s="105">
        <v>250</v>
      </c>
      <c r="E27" s="102">
        <v>320</v>
      </c>
      <c r="F27" s="7">
        <f t="shared" si="0"/>
        <v>80000</v>
      </c>
      <c r="G27" s="102"/>
      <c r="H27" s="7">
        <v>80000</v>
      </c>
      <c r="I27" s="106" t="s">
        <v>118</v>
      </c>
      <c r="J27" s="106" t="s">
        <v>127</v>
      </c>
      <c r="K27" s="106">
        <v>2022</v>
      </c>
    </row>
    <row r="28" spans="1:11" x14ac:dyDescent="0.25">
      <c r="A28" s="104">
        <v>44712</v>
      </c>
      <c r="B28" s="105" t="s">
        <v>52</v>
      </c>
      <c r="C28" s="106" t="s">
        <v>19</v>
      </c>
      <c r="D28" s="105">
        <v>50</v>
      </c>
      <c r="E28" s="102">
        <v>300</v>
      </c>
      <c r="F28" s="7">
        <f t="shared" si="0"/>
        <v>15000</v>
      </c>
      <c r="G28" s="102"/>
      <c r="H28" s="7">
        <v>15000</v>
      </c>
      <c r="I28" s="7" t="s">
        <v>119</v>
      </c>
      <c r="J28" s="106" t="s">
        <v>127</v>
      </c>
      <c r="K28" s="106">
        <v>2022</v>
      </c>
    </row>
    <row r="29" spans="1:11" x14ac:dyDescent="0.25">
      <c r="A29" s="104">
        <v>44715</v>
      </c>
      <c r="B29" s="105" t="s">
        <v>42</v>
      </c>
      <c r="C29" s="106" t="s">
        <v>17</v>
      </c>
      <c r="D29" s="105">
        <v>400</v>
      </c>
      <c r="E29" s="102">
        <v>320</v>
      </c>
      <c r="F29" s="7">
        <f t="shared" si="0"/>
        <v>128000</v>
      </c>
      <c r="G29" s="102"/>
      <c r="H29" s="7">
        <v>128000</v>
      </c>
      <c r="I29" s="106" t="s">
        <v>120</v>
      </c>
      <c r="J29" s="106" t="s">
        <v>128</v>
      </c>
      <c r="K29" s="106">
        <v>2022</v>
      </c>
    </row>
    <row r="30" spans="1:11" x14ac:dyDescent="0.25">
      <c r="A30" s="104">
        <v>44721</v>
      </c>
      <c r="B30" s="105" t="s">
        <v>49</v>
      </c>
      <c r="C30" s="106" t="s">
        <v>18</v>
      </c>
      <c r="D30" s="105">
        <v>150</v>
      </c>
      <c r="E30" s="102">
        <v>320</v>
      </c>
      <c r="F30" s="7">
        <f t="shared" si="0"/>
        <v>48000</v>
      </c>
      <c r="G30" s="102"/>
      <c r="H30" s="7">
        <v>48000</v>
      </c>
      <c r="I30" s="106" t="s">
        <v>121</v>
      </c>
      <c r="J30" s="106" t="s">
        <v>128</v>
      </c>
      <c r="K30" s="106">
        <v>2022</v>
      </c>
    </row>
    <row r="31" spans="1:11" x14ac:dyDescent="0.25">
      <c r="A31" s="104">
        <v>44723</v>
      </c>
      <c r="B31" s="105" t="s">
        <v>43</v>
      </c>
      <c r="C31" s="105" t="s">
        <v>19</v>
      </c>
      <c r="D31" s="105">
        <v>16</v>
      </c>
      <c r="E31" s="102">
        <v>300</v>
      </c>
      <c r="F31" s="7">
        <f t="shared" si="0"/>
        <v>4800</v>
      </c>
      <c r="G31" s="102"/>
      <c r="H31" s="7">
        <v>4800</v>
      </c>
      <c r="I31" s="106" t="s">
        <v>116</v>
      </c>
      <c r="J31" s="106" t="s">
        <v>128</v>
      </c>
      <c r="K31" s="106">
        <v>2022</v>
      </c>
    </row>
    <row r="32" spans="1:11" x14ac:dyDescent="0.25">
      <c r="A32" s="104">
        <v>44725</v>
      </c>
      <c r="B32" s="105" t="s">
        <v>52</v>
      </c>
      <c r="C32" s="105" t="s">
        <v>19</v>
      </c>
      <c r="D32" s="105">
        <v>80</v>
      </c>
      <c r="E32" s="102">
        <v>300</v>
      </c>
      <c r="F32" s="7">
        <f t="shared" si="0"/>
        <v>24000</v>
      </c>
      <c r="G32" s="102"/>
      <c r="H32" s="7">
        <v>24000</v>
      </c>
      <c r="I32" s="106" t="s">
        <v>118</v>
      </c>
      <c r="J32" s="106" t="s">
        <v>128</v>
      </c>
      <c r="K32" s="106">
        <v>2022</v>
      </c>
    </row>
    <row r="33" spans="1:11" x14ac:dyDescent="0.25">
      <c r="A33" s="104">
        <v>44726</v>
      </c>
      <c r="B33" s="105" t="s">
        <v>52</v>
      </c>
      <c r="C33" s="105" t="s">
        <v>19</v>
      </c>
      <c r="D33" s="105">
        <v>40</v>
      </c>
      <c r="E33" s="102">
        <v>300</v>
      </c>
      <c r="F33" s="7">
        <f t="shared" si="0"/>
        <v>12000</v>
      </c>
      <c r="G33" s="102"/>
      <c r="H33" s="7">
        <v>12000</v>
      </c>
      <c r="I33" s="106" t="s">
        <v>119</v>
      </c>
      <c r="J33" s="106" t="s">
        <v>128</v>
      </c>
      <c r="K33" s="106">
        <v>2022</v>
      </c>
    </row>
    <row r="34" spans="1:11" x14ac:dyDescent="0.25">
      <c r="A34" s="104">
        <v>44730</v>
      </c>
      <c r="B34" s="105" t="s">
        <v>52</v>
      </c>
      <c r="C34" s="105" t="s">
        <v>19</v>
      </c>
      <c r="D34" s="105">
        <v>20</v>
      </c>
      <c r="E34" s="102">
        <v>300</v>
      </c>
      <c r="F34" s="7">
        <f t="shared" si="0"/>
        <v>6000</v>
      </c>
      <c r="G34" s="102"/>
      <c r="H34" s="7">
        <v>6000</v>
      </c>
      <c r="I34" s="7" t="s">
        <v>116</v>
      </c>
      <c r="J34" s="106" t="s">
        <v>128</v>
      </c>
      <c r="K34" s="106">
        <v>2022</v>
      </c>
    </row>
    <row r="35" spans="1:11" x14ac:dyDescent="0.25">
      <c r="A35" s="104">
        <v>44758</v>
      </c>
      <c r="B35" s="105" t="s">
        <v>30</v>
      </c>
      <c r="C35" s="105" t="s">
        <v>19</v>
      </c>
      <c r="D35" s="105">
        <v>500</v>
      </c>
      <c r="E35" s="102">
        <v>330</v>
      </c>
      <c r="F35" s="7">
        <f t="shared" si="0"/>
        <v>165000</v>
      </c>
      <c r="G35" s="102">
        <v>5000</v>
      </c>
      <c r="H35" s="7">
        <v>160000</v>
      </c>
      <c r="I35" s="106" t="s">
        <v>116</v>
      </c>
      <c r="J35" s="106" t="s">
        <v>129</v>
      </c>
      <c r="K35" s="106">
        <v>2022</v>
      </c>
    </row>
    <row r="36" spans="1:11" x14ac:dyDescent="0.25">
      <c r="A36" s="104">
        <v>44769</v>
      </c>
      <c r="B36" s="105" t="s">
        <v>45</v>
      </c>
      <c r="C36" s="105" t="s">
        <v>19</v>
      </c>
      <c r="D36" s="105">
        <v>100</v>
      </c>
      <c r="E36" s="102">
        <v>300</v>
      </c>
      <c r="F36" s="7">
        <f t="shared" si="0"/>
        <v>30000</v>
      </c>
      <c r="G36" s="102"/>
      <c r="H36" s="7">
        <v>30000</v>
      </c>
      <c r="I36" s="7" t="s">
        <v>117</v>
      </c>
      <c r="J36" s="106" t="s">
        <v>129</v>
      </c>
      <c r="K36" s="106">
        <v>2022</v>
      </c>
    </row>
    <row r="37" spans="1:11" x14ac:dyDescent="0.25">
      <c r="A37" s="104">
        <v>44792</v>
      </c>
      <c r="B37" s="105" t="s">
        <v>44</v>
      </c>
      <c r="C37" s="105" t="s">
        <v>17</v>
      </c>
      <c r="D37" s="105">
        <v>3800</v>
      </c>
      <c r="E37" s="102">
        <v>350</v>
      </c>
      <c r="F37" s="7">
        <f t="shared" si="0"/>
        <v>1330000</v>
      </c>
      <c r="H37" s="7">
        <v>1330000</v>
      </c>
      <c r="I37" s="106" t="s">
        <v>120</v>
      </c>
      <c r="J37" s="106" t="s">
        <v>130</v>
      </c>
      <c r="K37" s="106">
        <v>2022</v>
      </c>
    </row>
    <row r="38" spans="1:11" x14ac:dyDescent="0.25">
      <c r="A38" s="104">
        <v>44792</v>
      </c>
      <c r="B38" s="105" t="s">
        <v>44</v>
      </c>
      <c r="C38" s="105" t="s">
        <v>19</v>
      </c>
      <c r="D38" s="105">
        <v>800</v>
      </c>
      <c r="E38" s="102">
        <v>330</v>
      </c>
      <c r="F38" s="7">
        <f t="shared" si="0"/>
        <v>264000</v>
      </c>
      <c r="H38" s="7">
        <v>264000</v>
      </c>
      <c r="I38" s="7" t="s">
        <v>120</v>
      </c>
      <c r="J38" s="106" t="s">
        <v>130</v>
      </c>
      <c r="K38" s="106">
        <v>2022</v>
      </c>
    </row>
    <row r="39" spans="1:11" x14ac:dyDescent="0.25">
      <c r="A39" s="104">
        <v>44813</v>
      </c>
      <c r="B39" s="105" t="s">
        <v>45</v>
      </c>
      <c r="C39" s="105" t="s">
        <v>19</v>
      </c>
      <c r="D39" s="105">
        <v>100</v>
      </c>
      <c r="E39" s="102">
        <v>300</v>
      </c>
      <c r="F39" s="7">
        <f t="shared" si="0"/>
        <v>30000</v>
      </c>
      <c r="G39" s="102"/>
      <c r="H39" s="7">
        <v>30000</v>
      </c>
      <c r="I39" s="106" t="s">
        <v>120</v>
      </c>
      <c r="J39" s="106" t="s">
        <v>131</v>
      </c>
      <c r="K39" s="106">
        <v>2022</v>
      </c>
    </row>
    <row r="40" spans="1:11" x14ac:dyDescent="0.25">
      <c r="A40" s="104">
        <v>44814</v>
      </c>
      <c r="B40" s="105" t="s">
        <v>54</v>
      </c>
      <c r="C40" s="105" t="s">
        <v>19</v>
      </c>
      <c r="D40" s="105">
        <v>16</v>
      </c>
      <c r="E40" s="102">
        <v>330</v>
      </c>
      <c r="F40" s="7">
        <f t="shared" si="0"/>
        <v>5280</v>
      </c>
      <c r="G40" s="102"/>
      <c r="H40" s="7">
        <v>5280</v>
      </c>
      <c r="I40" s="106" t="s">
        <v>116</v>
      </c>
      <c r="J40" s="106" t="s">
        <v>131</v>
      </c>
      <c r="K40" s="106">
        <v>2022</v>
      </c>
    </row>
    <row r="41" spans="1:11" x14ac:dyDescent="0.25">
      <c r="A41" s="104">
        <v>44816</v>
      </c>
      <c r="B41" s="105" t="s">
        <v>44</v>
      </c>
      <c r="C41" s="105" t="s">
        <v>17</v>
      </c>
      <c r="D41" s="105">
        <v>50</v>
      </c>
      <c r="E41" s="102">
        <v>350</v>
      </c>
      <c r="F41" s="7">
        <f t="shared" si="0"/>
        <v>17500</v>
      </c>
      <c r="G41" s="102">
        <v>17500</v>
      </c>
      <c r="H41" s="7">
        <v>0</v>
      </c>
      <c r="I41" s="106" t="s">
        <v>118</v>
      </c>
      <c r="J41" s="106" t="s">
        <v>131</v>
      </c>
      <c r="K41" s="106">
        <v>2022</v>
      </c>
    </row>
    <row r="42" spans="1:11" x14ac:dyDescent="0.25">
      <c r="A42" s="104">
        <v>44816</v>
      </c>
      <c r="B42" s="105" t="s">
        <v>44</v>
      </c>
      <c r="C42" s="105" t="s">
        <v>18</v>
      </c>
      <c r="D42" s="105">
        <v>220</v>
      </c>
      <c r="E42" s="102">
        <v>340</v>
      </c>
      <c r="F42" s="7">
        <f t="shared" si="0"/>
        <v>74800</v>
      </c>
      <c r="G42" s="102"/>
      <c r="H42" s="7">
        <v>74800</v>
      </c>
      <c r="I42" s="106" t="s">
        <v>118</v>
      </c>
      <c r="J42" s="106" t="s">
        <v>131</v>
      </c>
      <c r="K42" s="106">
        <v>2022</v>
      </c>
    </row>
    <row r="43" spans="1:11" x14ac:dyDescent="0.25">
      <c r="A43" s="104">
        <v>44818</v>
      </c>
      <c r="B43" s="105" t="s">
        <v>44</v>
      </c>
      <c r="C43" s="105" t="s">
        <v>19</v>
      </c>
      <c r="D43" s="105">
        <v>450</v>
      </c>
      <c r="E43" s="102">
        <v>330</v>
      </c>
      <c r="F43" s="7">
        <f t="shared" si="0"/>
        <v>148500</v>
      </c>
      <c r="G43" s="102"/>
      <c r="H43" s="7">
        <v>148500</v>
      </c>
      <c r="I43" s="106" t="s">
        <v>117</v>
      </c>
      <c r="J43" s="106" t="s">
        <v>131</v>
      </c>
      <c r="K43" s="106">
        <v>2022</v>
      </c>
    </row>
    <row r="44" spans="1:11" x14ac:dyDescent="0.25">
      <c r="A44" s="104">
        <v>44818</v>
      </c>
      <c r="B44" s="105" t="s">
        <v>44</v>
      </c>
      <c r="C44" s="105" t="s">
        <v>17</v>
      </c>
      <c r="D44" s="105">
        <v>60</v>
      </c>
      <c r="E44" s="102">
        <v>350</v>
      </c>
      <c r="F44" s="7">
        <f t="shared" si="0"/>
        <v>21000</v>
      </c>
      <c r="G44" s="102"/>
      <c r="H44" s="7">
        <v>21000</v>
      </c>
      <c r="I44" s="106" t="s">
        <v>117</v>
      </c>
      <c r="J44" s="106" t="s">
        <v>131</v>
      </c>
      <c r="K44" s="106">
        <v>2022</v>
      </c>
    </row>
    <row r="45" spans="1:11" x14ac:dyDescent="0.25">
      <c r="A45" s="104">
        <v>44823</v>
      </c>
      <c r="B45" s="105" t="s">
        <v>53</v>
      </c>
      <c r="C45" s="105" t="s">
        <v>19</v>
      </c>
      <c r="D45" s="105">
        <v>8</v>
      </c>
      <c r="E45" s="102">
        <v>350</v>
      </c>
      <c r="F45" s="7">
        <f t="shared" si="0"/>
        <v>2800</v>
      </c>
      <c r="G45" s="102"/>
      <c r="H45" s="7">
        <v>2800</v>
      </c>
      <c r="I45" s="106" t="s">
        <v>118</v>
      </c>
      <c r="J45" s="106" t="s">
        <v>131</v>
      </c>
      <c r="K45" s="106">
        <v>2022</v>
      </c>
    </row>
    <row r="46" spans="1:11" x14ac:dyDescent="0.25">
      <c r="A46" s="104">
        <v>44831</v>
      </c>
      <c r="B46" s="105" t="s">
        <v>52</v>
      </c>
      <c r="C46" s="105" t="s">
        <v>19</v>
      </c>
      <c r="D46" s="105">
        <v>40</v>
      </c>
      <c r="E46" s="102">
        <v>320</v>
      </c>
      <c r="F46" s="7">
        <f t="shared" si="0"/>
        <v>12800</v>
      </c>
      <c r="G46" s="102"/>
      <c r="H46" s="7">
        <v>12800</v>
      </c>
      <c r="I46" s="106" t="s">
        <v>119</v>
      </c>
      <c r="J46" s="106" t="s">
        <v>131</v>
      </c>
      <c r="K46" s="106">
        <v>2022</v>
      </c>
    </row>
    <row r="47" spans="1:11" x14ac:dyDescent="0.25">
      <c r="A47" s="104">
        <v>44831</v>
      </c>
      <c r="B47" s="105" t="s">
        <v>52</v>
      </c>
      <c r="C47" s="106" t="s">
        <v>17</v>
      </c>
      <c r="D47" s="105">
        <v>10</v>
      </c>
      <c r="E47" s="102">
        <v>350</v>
      </c>
      <c r="F47" s="7">
        <f t="shared" si="0"/>
        <v>3500</v>
      </c>
      <c r="G47" s="102">
        <v>700</v>
      </c>
      <c r="H47" s="7">
        <v>2800</v>
      </c>
      <c r="I47" s="106" t="s">
        <v>119</v>
      </c>
      <c r="J47" s="106" t="s">
        <v>131</v>
      </c>
      <c r="K47" s="106">
        <v>2022</v>
      </c>
    </row>
    <row r="48" spans="1:11" x14ac:dyDescent="0.25">
      <c r="A48" s="104">
        <v>44840</v>
      </c>
      <c r="B48" s="176" t="s">
        <v>135</v>
      </c>
      <c r="C48" s="105" t="s">
        <v>18</v>
      </c>
      <c r="D48" s="105">
        <v>400</v>
      </c>
      <c r="E48" s="102">
        <v>370</v>
      </c>
      <c r="F48" s="7">
        <f t="shared" si="0"/>
        <v>148000</v>
      </c>
      <c r="G48" s="102">
        <v>8000</v>
      </c>
      <c r="H48" s="7">
        <v>140000</v>
      </c>
      <c r="I48" s="106" t="s">
        <v>121</v>
      </c>
      <c r="J48" s="106" t="s">
        <v>132</v>
      </c>
      <c r="K48" s="106">
        <v>2022</v>
      </c>
    </row>
    <row r="49" spans="1:14" x14ac:dyDescent="0.25">
      <c r="A49" s="104">
        <v>44840</v>
      </c>
      <c r="B49" s="105" t="s">
        <v>44</v>
      </c>
      <c r="C49" s="106" t="s">
        <v>19</v>
      </c>
      <c r="D49" s="105">
        <v>170</v>
      </c>
      <c r="E49" s="102">
        <v>330</v>
      </c>
      <c r="F49" s="7">
        <f t="shared" si="0"/>
        <v>56100</v>
      </c>
      <c r="G49" s="102"/>
      <c r="H49" s="7">
        <v>56100</v>
      </c>
      <c r="I49" s="106" t="s">
        <v>121</v>
      </c>
      <c r="J49" s="106" t="s">
        <v>132</v>
      </c>
      <c r="K49" s="106">
        <v>2022</v>
      </c>
    </row>
    <row r="50" spans="1:14" x14ac:dyDescent="0.25">
      <c r="A50" s="104">
        <v>44840</v>
      </c>
      <c r="B50" s="105" t="s">
        <v>44</v>
      </c>
      <c r="C50" s="106" t="s">
        <v>18</v>
      </c>
      <c r="D50" s="105">
        <v>70</v>
      </c>
      <c r="E50" s="102">
        <v>340</v>
      </c>
      <c r="F50" s="7">
        <f t="shared" si="0"/>
        <v>23800</v>
      </c>
      <c r="G50" s="102"/>
      <c r="H50" s="7">
        <v>23800</v>
      </c>
      <c r="I50" s="106" t="s">
        <v>121</v>
      </c>
      <c r="J50" s="106" t="s">
        <v>132</v>
      </c>
      <c r="K50" s="106">
        <v>2022</v>
      </c>
    </row>
    <row r="51" spans="1:14" x14ac:dyDescent="0.25">
      <c r="A51" s="104">
        <v>44840</v>
      </c>
      <c r="B51" s="105" t="s">
        <v>44</v>
      </c>
      <c r="C51" s="106" t="s">
        <v>17</v>
      </c>
      <c r="D51" s="105">
        <v>90</v>
      </c>
      <c r="E51" s="102">
        <v>350</v>
      </c>
      <c r="F51" s="7">
        <f t="shared" si="0"/>
        <v>31500</v>
      </c>
      <c r="G51" s="102"/>
      <c r="H51" s="7">
        <v>31500</v>
      </c>
      <c r="I51" s="106" t="s">
        <v>121</v>
      </c>
      <c r="J51" s="106" t="s">
        <v>132</v>
      </c>
      <c r="K51" s="106">
        <v>2022</v>
      </c>
    </row>
    <row r="52" spans="1:14" x14ac:dyDescent="0.25">
      <c r="A52" s="104">
        <v>44840</v>
      </c>
      <c r="B52" s="105" t="s">
        <v>47</v>
      </c>
      <c r="C52" s="106" t="s">
        <v>17</v>
      </c>
      <c r="D52" s="105">
        <v>150</v>
      </c>
      <c r="E52" s="102">
        <v>390</v>
      </c>
      <c r="F52" s="7">
        <f t="shared" si="0"/>
        <v>58500</v>
      </c>
      <c r="G52" s="102"/>
      <c r="H52" s="7">
        <v>58500</v>
      </c>
      <c r="I52" s="106" t="s">
        <v>121</v>
      </c>
      <c r="J52" s="106" t="s">
        <v>132</v>
      </c>
      <c r="K52" s="106">
        <v>2022</v>
      </c>
    </row>
    <row r="53" spans="1:14" x14ac:dyDescent="0.25">
      <c r="A53" s="104">
        <v>44845</v>
      </c>
      <c r="B53" s="105" t="s">
        <v>46</v>
      </c>
      <c r="C53" s="105" t="s">
        <v>19</v>
      </c>
      <c r="D53" s="105">
        <v>300</v>
      </c>
      <c r="E53" s="102">
        <v>350</v>
      </c>
      <c r="F53" s="7">
        <f t="shared" si="0"/>
        <v>105000</v>
      </c>
      <c r="G53" s="102"/>
      <c r="H53" s="7">
        <v>105000</v>
      </c>
      <c r="I53" s="106" t="s">
        <v>119</v>
      </c>
      <c r="J53" s="106" t="s">
        <v>132</v>
      </c>
      <c r="K53" s="106">
        <v>2022</v>
      </c>
    </row>
    <row r="54" spans="1:14" x14ac:dyDescent="0.25">
      <c r="A54" s="104">
        <v>44847</v>
      </c>
      <c r="B54" s="105" t="s">
        <v>51</v>
      </c>
      <c r="C54" s="106" t="s">
        <v>17</v>
      </c>
      <c r="D54" s="105">
        <v>400</v>
      </c>
      <c r="E54" s="102">
        <v>380</v>
      </c>
      <c r="F54" s="7">
        <f t="shared" si="0"/>
        <v>152000</v>
      </c>
      <c r="G54" s="102"/>
      <c r="H54" s="7">
        <v>152000</v>
      </c>
      <c r="I54" s="106" t="s">
        <v>121</v>
      </c>
      <c r="J54" s="106" t="s">
        <v>132</v>
      </c>
      <c r="K54" s="106">
        <v>2022</v>
      </c>
    </row>
    <row r="55" spans="1:14" x14ac:dyDescent="0.25">
      <c r="A55" s="104">
        <v>44851</v>
      </c>
      <c r="B55" s="105" t="s">
        <v>51</v>
      </c>
      <c r="C55" s="105" t="s">
        <v>19</v>
      </c>
      <c r="D55" s="105">
        <v>500</v>
      </c>
      <c r="E55" s="102">
        <v>330</v>
      </c>
      <c r="F55" s="7">
        <f t="shared" si="0"/>
        <v>165000</v>
      </c>
      <c r="G55" s="102"/>
      <c r="H55" s="7">
        <v>165000</v>
      </c>
      <c r="I55" s="106" t="s">
        <v>118</v>
      </c>
      <c r="J55" s="106" t="s">
        <v>132</v>
      </c>
      <c r="K55" s="106">
        <v>2022</v>
      </c>
    </row>
    <row r="56" spans="1:14" x14ac:dyDescent="0.25">
      <c r="A56" s="104">
        <v>44852</v>
      </c>
      <c r="B56" s="105" t="s">
        <v>51</v>
      </c>
      <c r="C56" s="105" t="s">
        <v>19</v>
      </c>
      <c r="D56" s="105">
        <v>200</v>
      </c>
      <c r="E56" s="102">
        <v>330</v>
      </c>
      <c r="F56" s="7">
        <f t="shared" si="0"/>
        <v>66000</v>
      </c>
      <c r="G56" s="102"/>
      <c r="H56" s="7">
        <v>66000</v>
      </c>
      <c r="I56" s="106" t="s">
        <v>119</v>
      </c>
      <c r="J56" s="106" t="s">
        <v>132</v>
      </c>
      <c r="K56" s="106">
        <v>2022</v>
      </c>
    </row>
    <row r="57" spans="1:14" x14ac:dyDescent="0.25">
      <c r="A57" s="104">
        <v>44852</v>
      </c>
      <c r="B57" s="105" t="s">
        <v>51</v>
      </c>
      <c r="C57" s="106" t="s">
        <v>17</v>
      </c>
      <c r="D57" s="105">
        <v>300</v>
      </c>
      <c r="E57" s="102">
        <v>380</v>
      </c>
      <c r="F57" s="7">
        <f t="shared" si="0"/>
        <v>114000</v>
      </c>
      <c r="G57" s="102"/>
      <c r="H57" s="7">
        <v>114000</v>
      </c>
      <c r="I57" s="106" t="s">
        <v>119</v>
      </c>
      <c r="J57" s="106" t="s">
        <v>132</v>
      </c>
      <c r="K57" s="106">
        <v>2022</v>
      </c>
    </row>
    <row r="58" spans="1:14" x14ac:dyDescent="0.25">
      <c r="A58" s="104">
        <v>44852</v>
      </c>
      <c r="B58" s="105" t="s">
        <v>48</v>
      </c>
      <c r="C58" s="105" t="s">
        <v>19</v>
      </c>
      <c r="D58" s="105">
        <v>200</v>
      </c>
      <c r="E58" s="102">
        <v>300</v>
      </c>
      <c r="F58" s="7">
        <f t="shared" si="0"/>
        <v>60000</v>
      </c>
      <c r="G58" s="102">
        <v>40000</v>
      </c>
      <c r="H58" s="7">
        <v>20000</v>
      </c>
      <c r="I58" s="106" t="s">
        <v>119</v>
      </c>
      <c r="J58" s="106" t="s">
        <v>132</v>
      </c>
      <c r="K58" s="106">
        <v>2022</v>
      </c>
    </row>
    <row r="59" spans="1:14" x14ac:dyDescent="0.25">
      <c r="A59" s="104">
        <v>44855</v>
      </c>
      <c r="B59" s="105" t="s">
        <v>51</v>
      </c>
      <c r="C59" s="105" t="s">
        <v>19</v>
      </c>
      <c r="D59" s="105">
        <v>300</v>
      </c>
      <c r="E59" s="102">
        <v>330</v>
      </c>
      <c r="F59" s="7">
        <f t="shared" si="0"/>
        <v>99000</v>
      </c>
      <c r="G59" s="103"/>
      <c r="H59" s="7">
        <v>99000</v>
      </c>
      <c r="I59" s="106" t="s">
        <v>120</v>
      </c>
      <c r="J59" s="106" t="s">
        <v>132</v>
      </c>
      <c r="K59" s="106">
        <v>2022</v>
      </c>
    </row>
    <row r="60" spans="1:14" x14ac:dyDescent="0.25">
      <c r="A60" s="104">
        <v>44855</v>
      </c>
      <c r="B60" s="105" t="s">
        <v>51</v>
      </c>
      <c r="C60" s="106" t="s">
        <v>17</v>
      </c>
      <c r="D60" s="105">
        <v>280</v>
      </c>
      <c r="E60" s="102">
        <v>380</v>
      </c>
      <c r="F60" s="7">
        <f t="shared" si="0"/>
        <v>106400</v>
      </c>
      <c r="G60" s="103"/>
      <c r="H60" s="7">
        <v>106400</v>
      </c>
      <c r="I60" s="106" t="s">
        <v>120</v>
      </c>
      <c r="J60" s="106" t="s">
        <v>132</v>
      </c>
      <c r="K60" s="106">
        <v>2022</v>
      </c>
    </row>
    <row r="61" spans="1:14" x14ac:dyDescent="0.25">
      <c r="A61" s="104">
        <v>44858</v>
      </c>
      <c r="B61" s="105" t="s">
        <v>47</v>
      </c>
      <c r="C61" s="106" t="s">
        <v>17</v>
      </c>
      <c r="D61" s="105">
        <v>100</v>
      </c>
      <c r="E61" s="102">
        <v>390</v>
      </c>
      <c r="F61" s="7">
        <f t="shared" si="0"/>
        <v>39000</v>
      </c>
      <c r="G61" s="102"/>
      <c r="H61" s="7">
        <v>39000</v>
      </c>
      <c r="I61" s="106" t="s">
        <v>118</v>
      </c>
      <c r="J61" s="106" t="s">
        <v>132</v>
      </c>
      <c r="K61" s="106">
        <v>2022</v>
      </c>
      <c r="L61" s="7"/>
      <c r="N61" s="7"/>
    </row>
    <row r="62" spans="1:14" x14ac:dyDescent="0.25">
      <c r="A62" s="104">
        <v>44867</v>
      </c>
      <c r="B62" s="105" t="s">
        <v>51</v>
      </c>
      <c r="C62" s="105" t="s">
        <v>19</v>
      </c>
      <c r="D62" s="105">
        <v>150</v>
      </c>
      <c r="E62" s="102">
        <v>330</v>
      </c>
      <c r="F62" s="7">
        <f t="shared" si="0"/>
        <v>49500</v>
      </c>
      <c r="H62" s="7">
        <v>49500</v>
      </c>
      <c r="I62" s="106" t="s">
        <v>117</v>
      </c>
      <c r="J62" s="106" t="s">
        <v>133</v>
      </c>
      <c r="K62" s="106">
        <v>2022</v>
      </c>
    </row>
    <row r="63" spans="1:14" x14ac:dyDescent="0.25">
      <c r="A63" s="104">
        <v>44868</v>
      </c>
      <c r="B63" s="105" t="s">
        <v>156</v>
      </c>
      <c r="C63" s="106" t="s">
        <v>17</v>
      </c>
      <c r="D63" s="105">
        <v>600</v>
      </c>
      <c r="E63" s="102">
        <v>380</v>
      </c>
      <c r="F63" s="7">
        <f t="shared" si="0"/>
        <v>228000</v>
      </c>
      <c r="H63" s="7">
        <v>228000</v>
      </c>
      <c r="I63" s="106" t="s">
        <v>121</v>
      </c>
      <c r="J63" s="106" t="s">
        <v>133</v>
      </c>
      <c r="K63" s="106">
        <v>2022</v>
      </c>
    </row>
    <row r="64" spans="1:14" x14ac:dyDescent="0.25">
      <c r="A64" s="104">
        <v>44879</v>
      </c>
      <c r="B64" s="105" t="s">
        <v>50</v>
      </c>
      <c r="C64" s="105" t="s">
        <v>19</v>
      </c>
      <c r="D64" s="105">
        <v>150</v>
      </c>
      <c r="E64" s="102">
        <v>350</v>
      </c>
      <c r="F64" s="7">
        <f t="shared" si="0"/>
        <v>52500</v>
      </c>
      <c r="H64" s="7">
        <v>52500</v>
      </c>
      <c r="I64" s="106" t="s">
        <v>118</v>
      </c>
      <c r="J64" s="106" t="s">
        <v>133</v>
      </c>
      <c r="K64" s="106">
        <v>2022</v>
      </c>
    </row>
    <row r="65" spans="1:11" x14ac:dyDescent="0.25">
      <c r="A65" s="104">
        <v>44880</v>
      </c>
      <c r="B65" s="105" t="s">
        <v>50</v>
      </c>
      <c r="C65" s="105" t="s">
        <v>19</v>
      </c>
      <c r="D65" s="105">
        <v>100</v>
      </c>
      <c r="E65" s="102">
        <v>350</v>
      </c>
      <c r="F65" s="7">
        <f t="shared" si="0"/>
        <v>35000</v>
      </c>
      <c r="H65" s="7">
        <v>35000</v>
      </c>
      <c r="I65" s="106" t="s">
        <v>119</v>
      </c>
      <c r="J65" s="106" t="s">
        <v>133</v>
      </c>
      <c r="K65" s="106">
        <v>2022</v>
      </c>
    </row>
    <row r="66" spans="1:11" x14ac:dyDescent="0.25">
      <c r="A66" s="104">
        <v>44894</v>
      </c>
      <c r="B66" s="105" t="s">
        <v>47</v>
      </c>
      <c r="C66" s="106" t="s">
        <v>17</v>
      </c>
      <c r="D66" s="105">
        <v>150</v>
      </c>
      <c r="E66" s="102">
        <v>400</v>
      </c>
      <c r="F66" s="7">
        <f t="shared" ref="F66:F129" si="1">D66*E66</f>
        <v>60000</v>
      </c>
      <c r="H66" s="7">
        <v>60000</v>
      </c>
      <c r="I66" s="106" t="s">
        <v>119</v>
      </c>
      <c r="J66" s="106" t="s">
        <v>133</v>
      </c>
      <c r="K66" s="106">
        <v>2022</v>
      </c>
    </row>
    <row r="67" spans="1:11" x14ac:dyDescent="0.25">
      <c r="A67" s="104">
        <v>44909</v>
      </c>
      <c r="B67" s="105" t="s">
        <v>55</v>
      </c>
      <c r="C67" s="105" t="s">
        <v>19</v>
      </c>
      <c r="D67" s="105">
        <v>19</v>
      </c>
      <c r="E67" s="102">
        <v>370</v>
      </c>
      <c r="F67" s="7">
        <f t="shared" si="1"/>
        <v>7030</v>
      </c>
      <c r="G67" s="102">
        <v>30</v>
      </c>
      <c r="H67" s="7">
        <v>7000</v>
      </c>
      <c r="I67" s="106" t="s">
        <v>117</v>
      </c>
      <c r="J67" s="106" t="s">
        <v>134</v>
      </c>
      <c r="K67" s="106">
        <v>2022</v>
      </c>
    </row>
    <row r="68" spans="1:11" x14ac:dyDescent="0.25">
      <c r="A68" s="104">
        <v>44910</v>
      </c>
      <c r="B68" s="105" t="s">
        <v>92</v>
      </c>
      <c r="C68" s="105" t="s">
        <v>19</v>
      </c>
      <c r="D68" s="105">
        <v>200</v>
      </c>
      <c r="E68" s="102">
        <v>370</v>
      </c>
      <c r="F68" s="7">
        <f t="shared" si="1"/>
        <v>74000</v>
      </c>
      <c r="G68" s="102"/>
      <c r="H68" s="7">
        <v>74000</v>
      </c>
      <c r="I68" s="106" t="s">
        <v>121</v>
      </c>
      <c r="J68" s="106" t="s">
        <v>134</v>
      </c>
      <c r="K68" s="106">
        <v>2022</v>
      </c>
    </row>
    <row r="69" spans="1:11" x14ac:dyDescent="0.25">
      <c r="A69" s="104">
        <v>44911</v>
      </c>
      <c r="B69" s="105" t="s">
        <v>44</v>
      </c>
      <c r="C69" s="106" t="s">
        <v>18</v>
      </c>
      <c r="D69" s="105">
        <v>130</v>
      </c>
      <c r="E69" s="102">
        <v>380</v>
      </c>
      <c r="F69" s="7">
        <f t="shared" si="1"/>
        <v>49400</v>
      </c>
      <c r="G69" s="102"/>
      <c r="H69" s="7">
        <v>49400</v>
      </c>
      <c r="I69" s="106" t="s">
        <v>120</v>
      </c>
      <c r="J69" s="106" t="s">
        <v>134</v>
      </c>
      <c r="K69" s="106">
        <v>2022</v>
      </c>
    </row>
    <row r="70" spans="1:11" x14ac:dyDescent="0.25">
      <c r="A70" s="104">
        <v>44911</v>
      </c>
      <c r="B70" s="105" t="s">
        <v>92</v>
      </c>
      <c r="C70" s="106" t="s">
        <v>19</v>
      </c>
      <c r="D70" s="105">
        <v>300</v>
      </c>
      <c r="E70" s="102">
        <v>370</v>
      </c>
      <c r="F70" s="7">
        <f t="shared" si="1"/>
        <v>111000</v>
      </c>
      <c r="G70" s="102"/>
      <c r="H70" s="7">
        <v>111000</v>
      </c>
      <c r="I70" s="106" t="s">
        <v>120</v>
      </c>
      <c r="J70" s="106" t="s">
        <v>134</v>
      </c>
      <c r="K70" s="106">
        <v>2022</v>
      </c>
    </row>
    <row r="71" spans="1:11" x14ac:dyDescent="0.25">
      <c r="A71" s="104">
        <v>44911</v>
      </c>
      <c r="B71" s="105" t="s">
        <v>92</v>
      </c>
      <c r="C71" s="106" t="s">
        <v>17</v>
      </c>
      <c r="D71" s="105">
        <v>300</v>
      </c>
      <c r="E71" s="102">
        <v>400</v>
      </c>
      <c r="F71" s="7">
        <f t="shared" si="1"/>
        <v>120000</v>
      </c>
      <c r="G71" s="102"/>
      <c r="H71" s="7">
        <v>120000</v>
      </c>
      <c r="I71" s="106" t="s">
        <v>120</v>
      </c>
      <c r="J71" s="106" t="s">
        <v>134</v>
      </c>
      <c r="K71" s="106">
        <v>2022</v>
      </c>
    </row>
    <row r="72" spans="1:11" x14ac:dyDescent="0.25">
      <c r="A72" s="104">
        <v>44913</v>
      </c>
      <c r="B72" s="105" t="s">
        <v>56</v>
      </c>
      <c r="C72" s="106" t="s">
        <v>18</v>
      </c>
      <c r="D72" s="105">
        <v>30</v>
      </c>
      <c r="E72" s="102">
        <v>390</v>
      </c>
      <c r="F72" s="7">
        <f t="shared" si="1"/>
        <v>11700</v>
      </c>
      <c r="G72" s="102">
        <v>200</v>
      </c>
      <c r="H72" s="7">
        <v>11500</v>
      </c>
      <c r="I72" s="106" t="s">
        <v>122</v>
      </c>
      <c r="J72" s="106" t="s">
        <v>134</v>
      </c>
      <c r="K72" s="106">
        <v>2022</v>
      </c>
    </row>
    <row r="73" spans="1:11" x14ac:dyDescent="0.25">
      <c r="A73" s="104">
        <v>44915</v>
      </c>
      <c r="B73" s="105" t="s">
        <v>92</v>
      </c>
      <c r="C73" s="105" t="s">
        <v>19</v>
      </c>
      <c r="D73" s="105">
        <v>100</v>
      </c>
      <c r="E73" s="102">
        <v>370</v>
      </c>
      <c r="F73" s="7">
        <f t="shared" si="1"/>
        <v>37000</v>
      </c>
      <c r="G73" s="102"/>
      <c r="H73" s="7">
        <v>37000</v>
      </c>
      <c r="I73" s="106" t="s">
        <v>119</v>
      </c>
      <c r="J73" s="106" t="s">
        <v>134</v>
      </c>
      <c r="K73" s="106">
        <v>2022</v>
      </c>
    </row>
    <row r="74" spans="1:11" x14ac:dyDescent="0.25">
      <c r="A74" s="104">
        <v>44916</v>
      </c>
      <c r="B74" s="105" t="s">
        <v>92</v>
      </c>
      <c r="C74" s="105" t="s">
        <v>19</v>
      </c>
      <c r="D74" s="105">
        <v>200</v>
      </c>
      <c r="E74" s="102">
        <v>370</v>
      </c>
      <c r="F74" s="7">
        <f t="shared" si="1"/>
        <v>74000</v>
      </c>
      <c r="G74" s="102"/>
      <c r="H74" s="7">
        <v>74000</v>
      </c>
      <c r="I74" s="106" t="s">
        <v>117</v>
      </c>
      <c r="J74" s="106" t="s">
        <v>134</v>
      </c>
      <c r="K74" s="106">
        <v>2022</v>
      </c>
    </row>
    <row r="75" spans="1:11" x14ac:dyDescent="0.25">
      <c r="A75" s="104">
        <v>44917</v>
      </c>
      <c r="B75" s="105" t="s">
        <v>57</v>
      </c>
      <c r="C75" s="106" t="s">
        <v>17</v>
      </c>
      <c r="D75" s="105">
        <v>50</v>
      </c>
      <c r="E75" s="102">
        <v>400</v>
      </c>
      <c r="F75" s="7">
        <f t="shared" si="1"/>
        <v>20000</v>
      </c>
      <c r="G75" s="102"/>
      <c r="H75" s="7">
        <v>20000</v>
      </c>
      <c r="I75" s="106" t="s">
        <v>121</v>
      </c>
      <c r="J75" s="106" t="s">
        <v>134</v>
      </c>
      <c r="K75" s="106">
        <v>2022</v>
      </c>
    </row>
    <row r="76" spans="1:11" x14ac:dyDescent="0.25">
      <c r="A76" s="104">
        <v>44920</v>
      </c>
      <c r="B76" s="105" t="s">
        <v>92</v>
      </c>
      <c r="C76" s="105" t="s">
        <v>19</v>
      </c>
      <c r="D76" s="105">
        <v>30</v>
      </c>
      <c r="E76" s="102">
        <v>370</v>
      </c>
      <c r="F76" s="7">
        <f t="shared" si="1"/>
        <v>11100</v>
      </c>
      <c r="G76" s="102"/>
      <c r="H76" s="7">
        <v>11100</v>
      </c>
      <c r="I76" s="106" t="s">
        <v>122</v>
      </c>
      <c r="J76" s="106" t="s">
        <v>134</v>
      </c>
      <c r="K76" s="106">
        <v>2022</v>
      </c>
    </row>
    <row r="77" spans="1:11" x14ac:dyDescent="0.25">
      <c r="A77" s="104">
        <v>44920</v>
      </c>
      <c r="B77" s="105" t="s">
        <v>58</v>
      </c>
      <c r="C77" s="106" t="s">
        <v>17</v>
      </c>
      <c r="D77" s="105">
        <v>75</v>
      </c>
      <c r="E77" s="102">
        <v>360</v>
      </c>
      <c r="F77" s="7">
        <f t="shared" si="1"/>
        <v>27000</v>
      </c>
      <c r="G77" s="102"/>
      <c r="H77" s="7">
        <v>27000</v>
      </c>
      <c r="I77" s="106" t="s">
        <v>122</v>
      </c>
      <c r="J77" s="106" t="s">
        <v>134</v>
      </c>
      <c r="K77" s="106">
        <v>2022</v>
      </c>
    </row>
    <row r="78" spans="1:11" x14ac:dyDescent="0.25">
      <c r="A78" s="104">
        <v>44921</v>
      </c>
      <c r="B78" s="105" t="s">
        <v>44</v>
      </c>
      <c r="C78" s="106" t="s">
        <v>18</v>
      </c>
      <c r="D78" s="105">
        <v>100</v>
      </c>
      <c r="E78" s="102">
        <v>380</v>
      </c>
      <c r="F78" s="7">
        <f t="shared" si="1"/>
        <v>38000</v>
      </c>
      <c r="G78" s="102"/>
      <c r="H78" s="7">
        <v>38000</v>
      </c>
      <c r="I78" s="106" t="s">
        <v>118</v>
      </c>
      <c r="J78" s="106" t="s">
        <v>134</v>
      </c>
      <c r="K78" s="106">
        <v>2022</v>
      </c>
    </row>
    <row r="79" spans="1:11" x14ac:dyDescent="0.25">
      <c r="A79" s="104">
        <v>44930</v>
      </c>
      <c r="B79" s="105" t="s">
        <v>59</v>
      </c>
      <c r="C79" s="105" t="s">
        <v>19</v>
      </c>
      <c r="D79" s="105">
        <v>300</v>
      </c>
      <c r="E79" s="102">
        <v>350</v>
      </c>
      <c r="F79" s="7">
        <f t="shared" si="1"/>
        <v>105000</v>
      </c>
      <c r="H79" s="7">
        <v>105000</v>
      </c>
      <c r="I79" s="106" t="s">
        <v>117</v>
      </c>
      <c r="J79" s="106" t="s">
        <v>123</v>
      </c>
      <c r="K79" s="106">
        <v>2023</v>
      </c>
    </row>
    <row r="80" spans="1:11" x14ac:dyDescent="0.25">
      <c r="A80" s="104">
        <v>44932</v>
      </c>
      <c r="B80" s="105" t="s">
        <v>58</v>
      </c>
      <c r="C80" s="106" t="s">
        <v>17</v>
      </c>
      <c r="D80" s="105">
        <v>34</v>
      </c>
      <c r="E80" s="102">
        <v>360</v>
      </c>
      <c r="F80" s="7">
        <f t="shared" si="1"/>
        <v>12240</v>
      </c>
      <c r="H80" s="7">
        <v>12240</v>
      </c>
      <c r="I80" s="106" t="s">
        <v>120</v>
      </c>
      <c r="J80" s="106" t="s">
        <v>123</v>
      </c>
      <c r="K80" s="106">
        <v>2023</v>
      </c>
    </row>
    <row r="81" spans="1:11" x14ac:dyDescent="0.25">
      <c r="A81" s="104">
        <v>44935</v>
      </c>
      <c r="B81" s="105" t="s">
        <v>59</v>
      </c>
      <c r="C81" s="106" t="s">
        <v>17</v>
      </c>
      <c r="D81" s="105">
        <v>100</v>
      </c>
      <c r="E81" s="102">
        <v>390</v>
      </c>
      <c r="F81" s="7">
        <f t="shared" si="1"/>
        <v>39000</v>
      </c>
      <c r="H81" s="7">
        <v>39000</v>
      </c>
      <c r="I81" s="106" t="s">
        <v>118</v>
      </c>
      <c r="J81" s="106" t="s">
        <v>123</v>
      </c>
      <c r="K81" s="106">
        <v>2023</v>
      </c>
    </row>
    <row r="82" spans="1:11" x14ac:dyDescent="0.25">
      <c r="A82" s="104">
        <v>44937</v>
      </c>
      <c r="B82" s="105" t="s">
        <v>59</v>
      </c>
      <c r="C82" s="105" t="s">
        <v>19</v>
      </c>
      <c r="D82" s="105">
        <v>100</v>
      </c>
      <c r="E82" s="102">
        <v>350</v>
      </c>
      <c r="F82" s="7">
        <f t="shared" si="1"/>
        <v>35000</v>
      </c>
      <c r="H82" s="7">
        <v>35000</v>
      </c>
      <c r="I82" s="106" t="s">
        <v>117</v>
      </c>
      <c r="J82" s="106" t="s">
        <v>123</v>
      </c>
      <c r="K82" s="106">
        <v>2023</v>
      </c>
    </row>
    <row r="83" spans="1:11" x14ac:dyDescent="0.25">
      <c r="A83" s="104">
        <v>44938</v>
      </c>
      <c r="B83" s="105" t="s">
        <v>60</v>
      </c>
      <c r="C83" s="105" t="s">
        <v>19</v>
      </c>
      <c r="D83" s="105">
        <v>16</v>
      </c>
      <c r="E83" s="102">
        <v>380</v>
      </c>
      <c r="F83" s="7">
        <f t="shared" si="1"/>
        <v>6080</v>
      </c>
      <c r="H83" s="7">
        <v>6080</v>
      </c>
      <c r="I83" s="106" t="s">
        <v>121</v>
      </c>
      <c r="J83" s="106" t="s">
        <v>123</v>
      </c>
      <c r="K83" s="106">
        <v>2023</v>
      </c>
    </row>
    <row r="84" spans="1:11" x14ac:dyDescent="0.25">
      <c r="A84" s="104">
        <v>44950</v>
      </c>
      <c r="B84" s="105" t="s">
        <v>61</v>
      </c>
      <c r="C84" s="106" t="s">
        <v>17</v>
      </c>
      <c r="D84" s="105">
        <v>400</v>
      </c>
      <c r="E84" s="102">
        <v>385</v>
      </c>
      <c r="F84" s="7">
        <f t="shared" si="1"/>
        <v>154000</v>
      </c>
      <c r="H84" s="7">
        <v>154000</v>
      </c>
      <c r="I84" s="106" t="s">
        <v>119</v>
      </c>
      <c r="J84" s="106" t="s">
        <v>123</v>
      </c>
      <c r="K84" s="106">
        <v>2023</v>
      </c>
    </row>
    <row r="85" spans="1:11" x14ac:dyDescent="0.25">
      <c r="A85" s="113">
        <v>44987</v>
      </c>
      <c r="B85" s="106" t="s">
        <v>62</v>
      </c>
      <c r="C85" s="106" t="s">
        <v>17</v>
      </c>
      <c r="D85" s="106">
        <v>60</v>
      </c>
      <c r="E85" s="7">
        <v>410</v>
      </c>
      <c r="F85" s="7">
        <f t="shared" si="1"/>
        <v>24600</v>
      </c>
      <c r="G85" s="7">
        <v>100</v>
      </c>
      <c r="H85" s="7">
        <v>24500</v>
      </c>
      <c r="I85" s="106" t="s">
        <v>121</v>
      </c>
      <c r="J85" s="106" t="s">
        <v>125</v>
      </c>
      <c r="K85" s="106">
        <v>2023</v>
      </c>
    </row>
    <row r="86" spans="1:11" x14ac:dyDescent="0.25">
      <c r="A86" s="113">
        <v>45005</v>
      </c>
      <c r="B86" s="106" t="s">
        <v>84</v>
      </c>
      <c r="C86" s="106" t="s">
        <v>17</v>
      </c>
      <c r="D86" s="106">
        <v>1000</v>
      </c>
      <c r="E86" s="7">
        <v>400</v>
      </c>
      <c r="F86" s="7">
        <f t="shared" si="1"/>
        <v>400000</v>
      </c>
      <c r="H86" s="7">
        <v>400000</v>
      </c>
      <c r="I86" s="106" t="s">
        <v>118</v>
      </c>
      <c r="J86" s="106" t="s">
        <v>125</v>
      </c>
      <c r="K86" s="106">
        <v>2023</v>
      </c>
    </row>
    <row r="87" spans="1:11" x14ac:dyDescent="0.25">
      <c r="A87" s="113">
        <v>45005</v>
      </c>
      <c r="B87" s="106" t="s">
        <v>63</v>
      </c>
      <c r="C87" s="106" t="s">
        <v>19</v>
      </c>
      <c r="D87" s="106">
        <v>16</v>
      </c>
      <c r="E87" s="7">
        <v>350</v>
      </c>
      <c r="F87" s="7">
        <f t="shared" si="1"/>
        <v>5600</v>
      </c>
      <c r="H87" s="7">
        <v>5600</v>
      </c>
      <c r="I87" s="106" t="s">
        <v>118</v>
      </c>
      <c r="J87" s="106" t="s">
        <v>125</v>
      </c>
      <c r="K87" s="106">
        <v>2023</v>
      </c>
    </row>
    <row r="88" spans="1:11" x14ac:dyDescent="0.25">
      <c r="A88" s="113">
        <v>45007</v>
      </c>
      <c r="B88" s="106" t="s">
        <v>64</v>
      </c>
      <c r="C88" s="106" t="s">
        <v>19</v>
      </c>
      <c r="D88" s="106">
        <v>15</v>
      </c>
      <c r="E88" s="7">
        <v>350</v>
      </c>
      <c r="F88" s="7">
        <f t="shared" si="1"/>
        <v>5250</v>
      </c>
      <c r="H88" s="7">
        <v>5250</v>
      </c>
      <c r="I88" s="106" t="s">
        <v>117</v>
      </c>
      <c r="J88" s="106" t="s">
        <v>125</v>
      </c>
      <c r="K88" s="106">
        <v>2023</v>
      </c>
    </row>
    <row r="89" spans="1:11" x14ac:dyDescent="0.25">
      <c r="A89" s="113">
        <v>45009</v>
      </c>
      <c r="B89" s="106" t="s">
        <v>65</v>
      </c>
      <c r="C89" s="106" t="s">
        <v>19</v>
      </c>
      <c r="D89" s="106">
        <v>25</v>
      </c>
      <c r="E89" s="7">
        <v>350</v>
      </c>
      <c r="F89" s="7">
        <f t="shared" si="1"/>
        <v>8750</v>
      </c>
      <c r="H89" s="7">
        <v>8750</v>
      </c>
      <c r="I89" s="106" t="s">
        <v>120</v>
      </c>
      <c r="J89" s="106" t="s">
        <v>125</v>
      </c>
      <c r="K89" s="106">
        <v>2023</v>
      </c>
    </row>
    <row r="90" spans="1:11" x14ac:dyDescent="0.25">
      <c r="A90" s="113">
        <v>45015</v>
      </c>
      <c r="B90" s="106" t="s">
        <v>84</v>
      </c>
      <c r="C90" s="106" t="s">
        <v>17</v>
      </c>
      <c r="D90" s="106">
        <v>300</v>
      </c>
      <c r="E90" s="7">
        <v>400</v>
      </c>
      <c r="F90" s="7">
        <f t="shared" si="1"/>
        <v>120000</v>
      </c>
      <c r="H90" s="7">
        <v>120000</v>
      </c>
      <c r="I90" s="106" t="s">
        <v>121</v>
      </c>
      <c r="J90" s="106" t="s">
        <v>125</v>
      </c>
      <c r="K90" s="106">
        <v>2023</v>
      </c>
    </row>
    <row r="91" spans="1:11" x14ac:dyDescent="0.25">
      <c r="A91" s="113">
        <v>45016</v>
      </c>
      <c r="B91" s="106" t="s">
        <v>84</v>
      </c>
      <c r="C91" s="106" t="s">
        <v>17</v>
      </c>
      <c r="D91" s="106">
        <v>200</v>
      </c>
      <c r="E91" s="7">
        <v>400</v>
      </c>
      <c r="F91" s="7">
        <f t="shared" si="1"/>
        <v>80000</v>
      </c>
      <c r="H91" s="7">
        <v>80000</v>
      </c>
      <c r="I91" s="106" t="s">
        <v>120</v>
      </c>
      <c r="J91" s="106" t="s">
        <v>125</v>
      </c>
      <c r="K91" s="106">
        <v>2023</v>
      </c>
    </row>
    <row r="92" spans="1:11" x14ac:dyDescent="0.25">
      <c r="A92" s="113">
        <v>45017</v>
      </c>
      <c r="B92" s="106" t="s">
        <v>84</v>
      </c>
      <c r="C92" s="106" t="s">
        <v>17</v>
      </c>
      <c r="D92" s="106">
        <v>100</v>
      </c>
      <c r="E92" s="7">
        <v>400</v>
      </c>
      <c r="F92" s="7">
        <f t="shared" si="1"/>
        <v>40000</v>
      </c>
      <c r="H92" s="7">
        <v>40000</v>
      </c>
      <c r="I92" s="106" t="s">
        <v>116</v>
      </c>
      <c r="J92" s="106" t="s">
        <v>126</v>
      </c>
      <c r="K92" s="106">
        <v>2023</v>
      </c>
    </row>
    <row r="93" spans="1:11" x14ac:dyDescent="0.25">
      <c r="A93" s="113">
        <v>45021</v>
      </c>
      <c r="B93" s="106" t="s">
        <v>66</v>
      </c>
      <c r="C93" s="106" t="s">
        <v>19</v>
      </c>
      <c r="D93" s="106">
        <v>16</v>
      </c>
      <c r="E93" s="7">
        <v>340</v>
      </c>
      <c r="F93" s="7">
        <f t="shared" si="1"/>
        <v>5440</v>
      </c>
      <c r="H93" s="7">
        <v>5440</v>
      </c>
      <c r="I93" s="106" t="s">
        <v>117</v>
      </c>
      <c r="J93" s="106" t="s">
        <v>126</v>
      </c>
      <c r="K93" s="106">
        <v>2023</v>
      </c>
    </row>
    <row r="94" spans="1:11" x14ac:dyDescent="0.25">
      <c r="A94" s="113">
        <v>45024</v>
      </c>
      <c r="B94" s="106" t="s">
        <v>67</v>
      </c>
      <c r="C94" s="106" t="s">
        <v>19</v>
      </c>
      <c r="D94" s="106">
        <v>50</v>
      </c>
      <c r="E94" s="7">
        <v>350</v>
      </c>
      <c r="F94" s="7">
        <f t="shared" si="1"/>
        <v>17500</v>
      </c>
      <c r="H94" s="7">
        <v>17500</v>
      </c>
      <c r="I94" s="106" t="s">
        <v>116</v>
      </c>
      <c r="J94" s="106" t="s">
        <v>126</v>
      </c>
      <c r="K94" s="106">
        <v>2023</v>
      </c>
    </row>
    <row r="95" spans="1:11" x14ac:dyDescent="0.25">
      <c r="A95" s="113">
        <v>45024</v>
      </c>
      <c r="B95" s="106" t="s">
        <v>67</v>
      </c>
      <c r="C95" s="106" t="s">
        <v>17</v>
      </c>
      <c r="D95" s="106">
        <v>25</v>
      </c>
      <c r="E95" s="7">
        <v>400</v>
      </c>
      <c r="F95" s="7">
        <f t="shared" si="1"/>
        <v>10000</v>
      </c>
      <c r="H95" s="7">
        <v>10000</v>
      </c>
      <c r="I95" s="106" t="s">
        <v>116</v>
      </c>
      <c r="J95" s="106" t="s">
        <v>126</v>
      </c>
      <c r="K95" s="106">
        <v>2023</v>
      </c>
    </row>
    <row r="96" spans="1:11" x14ac:dyDescent="0.25">
      <c r="A96" s="113">
        <v>45026</v>
      </c>
      <c r="B96" s="106" t="s">
        <v>68</v>
      </c>
      <c r="C96" s="106" t="s">
        <v>19</v>
      </c>
      <c r="D96" s="106">
        <v>40</v>
      </c>
      <c r="E96" s="7">
        <v>350</v>
      </c>
      <c r="F96" s="7">
        <f t="shared" si="1"/>
        <v>14000</v>
      </c>
      <c r="H96" s="7">
        <v>14000</v>
      </c>
      <c r="I96" s="106" t="s">
        <v>118</v>
      </c>
      <c r="J96" s="106" t="s">
        <v>126</v>
      </c>
      <c r="K96" s="106">
        <v>2023</v>
      </c>
    </row>
    <row r="97" spans="1:11" x14ac:dyDescent="0.25">
      <c r="A97" s="113">
        <v>45027</v>
      </c>
      <c r="B97" s="106" t="s">
        <v>69</v>
      </c>
      <c r="C97" s="106" t="s">
        <v>19</v>
      </c>
      <c r="D97" s="106">
        <v>200</v>
      </c>
      <c r="E97" s="7">
        <v>360</v>
      </c>
      <c r="F97" s="7">
        <f t="shared" si="1"/>
        <v>72000</v>
      </c>
      <c r="H97" s="7">
        <v>72000</v>
      </c>
      <c r="I97" s="106" t="s">
        <v>119</v>
      </c>
      <c r="J97" s="106" t="s">
        <v>126</v>
      </c>
      <c r="K97" s="106">
        <v>2023</v>
      </c>
    </row>
    <row r="98" spans="1:11" x14ac:dyDescent="0.25">
      <c r="A98" s="113">
        <v>45027</v>
      </c>
      <c r="B98" s="106" t="s">
        <v>66</v>
      </c>
      <c r="C98" s="106" t="s">
        <v>19</v>
      </c>
      <c r="D98" s="106">
        <v>400</v>
      </c>
      <c r="E98" s="7">
        <v>330</v>
      </c>
      <c r="F98" s="7">
        <f t="shared" si="1"/>
        <v>132000</v>
      </c>
      <c r="H98" s="7">
        <v>132000</v>
      </c>
      <c r="I98" s="106" t="s">
        <v>119</v>
      </c>
      <c r="J98" s="106" t="s">
        <v>126</v>
      </c>
      <c r="K98" s="106">
        <v>2023</v>
      </c>
    </row>
    <row r="99" spans="1:11" x14ac:dyDescent="0.25">
      <c r="A99" s="113">
        <v>45028</v>
      </c>
      <c r="B99" s="106" t="s">
        <v>49</v>
      </c>
      <c r="C99" s="106" t="s">
        <v>18</v>
      </c>
      <c r="D99" s="106">
        <v>2500</v>
      </c>
      <c r="E99" s="7">
        <v>302</v>
      </c>
      <c r="F99" s="7">
        <f t="shared" si="1"/>
        <v>755000</v>
      </c>
      <c r="G99" s="7">
        <v>50000</v>
      </c>
      <c r="H99" s="7">
        <v>705000</v>
      </c>
      <c r="I99" s="106" t="s">
        <v>117</v>
      </c>
      <c r="J99" s="106" t="s">
        <v>126</v>
      </c>
      <c r="K99" s="106">
        <v>2023</v>
      </c>
    </row>
    <row r="100" spans="1:11" x14ac:dyDescent="0.25">
      <c r="A100" s="113">
        <v>45031</v>
      </c>
      <c r="B100" s="106" t="s">
        <v>70</v>
      </c>
      <c r="C100" s="106" t="s">
        <v>17</v>
      </c>
      <c r="D100" s="106">
        <v>50</v>
      </c>
      <c r="E100" s="7">
        <v>400</v>
      </c>
      <c r="F100" s="7">
        <f t="shared" si="1"/>
        <v>20000</v>
      </c>
      <c r="H100" s="7">
        <v>20000</v>
      </c>
      <c r="I100" s="106" t="s">
        <v>116</v>
      </c>
      <c r="J100" s="106" t="s">
        <v>126</v>
      </c>
      <c r="K100" s="106">
        <v>2023</v>
      </c>
    </row>
    <row r="101" spans="1:11" x14ac:dyDescent="0.25">
      <c r="A101" s="113">
        <v>45055</v>
      </c>
      <c r="B101" s="106" t="s">
        <v>71</v>
      </c>
      <c r="C101" s="106" t="s">
        <v>19</v>
      </c>
      <c r="D101" s="106">
        <v>400</v>
      </c>
      <c r="E101" s="7">
        <v>350</v>
      </c>
      <c r="F101" s="7">
        <f t="shared" si="1"/>
        <v>140000</v>
      </c>
      <c r="H101" s="7">
        <v>140000</v>
      </c>
      <c r="I101" s="106" t="s">
        <v>119</v>
      </c>
      <c r="J101" s="106" t="s">
        <v>127</v>
      </c>
      <c r="K101" s="106">
        <v>2023</v>
      </c>
    </row>
    <row r="102" spans="1:11" x14ac:dyDescent="0.25">
      <c r="A102" s="113">
        <v>45068</v>
      </c>
      <c r="B102" s="106" t="s">
        <v>72</v>
      </c>
      <c r="C102" s="106" t="s">
        <v>19</v>
      </c>
      <c r="D102" s="106">
        <v>50</v>
      </c>
      <c r="E102" s="7">
        <v>380</v>
      </c>
      <c r="F102" s="7">
        <f t="shared" si="1"/>
        <v>19000</v>
      </c>
      <c r="H102" s="7">
        <v>19000</v>
      </c>
      <c r="I102" s="106" t="s">
        <v>118</v>
      </c>
      <c r="J102" s="106" t="s">
        <v>127</v>
      </c>
      <c r="K102" s="106">
        <v>2023</v>
      </c>
    </row>
    <row r="103" spans="1:11" x14ac:dyDescent="0.25">
      <c r="A103" s="113">
        <v>45076</v>
      </c>
      <c r="B103" s="106" t="s">
        <v>73</v>
      </c>
      <c r="C103" s="106" t="s">
        <v>17</v>
      </c>
      <c r="D103" s="106">
        <v>315</v>
      </c>
      <c r="E103" s="7">
        <v>350</v>
      </c>
      <c r="F103" s="7">
        <f t="shared" si="1"/>
        <v>110250</v>
      </c>
      <c r="H103" s="7">
        <v>110250</v>
      </c>
      <c r="I103" s="106" t="s">
        <v>119</v>
      </c>
      <c r="J103" s="106" t="s">
        <v>127</v>
      </c>
      <c r="K103" s="106">
        <v>2023</v>
      </c>
    </row>
    <row r="104" spans="1:11" x14ac:dyDescent="0.25">
      <c r="A104" s="113">
        <v>45077</v>
      </c>
      <c r="B104" s="106" t="s">
        <v>73</v>
      </c>
      <c r="C104" s="106" t="s">
        <v>17</v>
      </c>
      <c r="D104" s="106">
        <v>277</v>
      </c>
      <c r="E104" s="7">
        <v>350</v>
      </c>
      <c r="F104" s="7">
        <f t="shared" si="1"/>
        <v>96950</v>
      </c>
      <c r="H104" s="7">
        <v>96950</v>
      </c>
      <c r="I104" s="106" t="s">
        <v>117</v>
      </c>
      <c r="J104" s="106" t="s">
        <v>127</v>
      </c>
      <c r="K104" s="106">
        <v>2023</v>
      </c>
    </row>
    <row r="105" spans="1:11" x14ac:dyDescent="0.25">
      <c r="A105" s="113">
        <v>45077</v>
      </c>
      <c r="B105" s="106" t="s">
        <v>30</v>
      </c>
      <c r="C105" s="106" t="s">
        <v>19</v>
      </c>
      <c r="D105" s="106">
        <v>500</v>
      </c>
      <c r="E105" s="7">
        <v>360</v>
      </c>
      <c r="F105" s="7">
        <f t="shared" si="1"/>
        <v>180000</v>
      </c>
      <c r="H105" s="7">
        <v>180000</v>
      </c>
      <c r="I105" s="106" t="s">
        <v>117</v>
      </c>
      <c r="J105" s="106" t="s">
        <v>127</v>
      </c>
      <c r="K105" s="106">
        <v>2023</v>
      </c>
    </row>
    <row r="106" spans="1:11" x14ac:dyDescent="0.25">
      <c r="A106" s="113">
        <v>45077</v>
      </c>
      <c r="B106" s="106" t="s">
        <v>135</v>
      </c>
      <c r="C106" s="106" t="s">
        <v>18</v>
      </c>
      <c r="D106" s="106">
        <v>100</v>
      </c>
      <c r="E106" s="7">
        <v>380</v>
      </c>
      <c r="F106" s="7">
        <f t="shared" si="1"/>
        <v>38000</v>
      </c>
      <c r="H106" s="7">
        <v>38000</v>
      </c>
      <c r="I106" s="106" t="s">
        <v>117</v>
      </c>
      <c r="J106" s="106" t="s">
        <v>127</v>
      </c>
      <c r="K106" s="106">
        <v>2023</v>
      </c>
    </row>
    <row r="107" spans="1:11" x14ac:dyDescent="0.25">
      <c r="A107" s="113">
        <v>45084</v>
      </c>
      <c r="B107" s="106" t="s">
        <v>74</v>
      </c>
      <c r="C107" s="106" t="s">
        <v>17</v>
      </c>
      <c r="D107" s="106">
        <v>100</v>
      </c>
      <c r="E107" s="7">
        <v>380</v>
      </c>
      <c r="F107" s="7">
        <f t="shared" si="1"/>
        <v>38000</v>
      </c>
      <c r="H107" s="7">
        <v>38000</v>
      </c>
      <c r="I107" s="106" t="s">
        <v>117</v>
      </c>
      <c r="J107" s="106" t="s">
        <v>128</v>
      </c>
      <c r="K107" s="106">
        <v>2023</v>
      </c>
    </row>
    <row r="108" spans="1:11" x14ac:dyDescent="0.25">
      <c r="A108" s="113">
        <v>45085</v>
      </c>
      <c r="B108" s="106" t="s">
        <v>75</v>
      </c>
      <c r="C108" s="106" t="s">
        <v>17</v>
      </c>
      <c r="D108" s="106">
        <v>30</v>
      </c>
      <c r="E108" s="7">
        <v>400</v>
      </c>
      <c r="F108" s="7">
        <f t="shared" si="1"/>
        <v>12000</v>
      </c>
      <c r="H108" s="7">
        <v>12000</v>
      </c>
      <c r="I108" s="106" t="s">
        <v>121</v>
      </c>
      <c r="J108" s="106" t="s">
        <v>128</v>
      </c>
      <c r="K108" s="106">
        <v>2023</v>
      </c>
    </row>
    <row r="109" spans="1:11" x14ac:dyDescent="0.25">
      <c r="A109" s="113">
        <v>45087</v>
      </c>
      <c r="B109" s="106" t="s">
        <v>74</v>
      </c>
      <c r="C109" s="106" t="s">
        <v>17</v>
      </c>
      <c r="D109" s="106">
        <v>130</v>
      </c>
      <c r="E109" s="7">
        <v>380</v>
      </c>
      <c r="F109" s="7">
        <f t="shared" si="1"/>
        <v>49400</v>
      </c>
      <c r="H109" s="7">
        <v>49400</v>
      </c>
      <c r="I109" s="106" t="s">
        <v>116</v>
      </c>
      <c r="J109" s="106" t="s">
        <v>128</v>
      </c>
      <c r="K109" s="106">
        <v>2023</v>
      </c>
    </row>
    <row r="110" spans="1:11" x14ac:dyDescent="0.25">
      <c r="A110" s="113">
        <v>45088</v>
      </c>
      <c r="B110" s="106" t="s">
        <v>74</v>
      </c>
      <c r="C110" s="106" t="s">
        <v>17</v>
      </c>
      <c r="D110" s="106">
        <v>10</v>
      </c>
      <c r="E110" s="7">
        <v>380</v>
      </c>
      <c r="F110" s="7">
        <f t="shared" si="1"/>
        <v>3800</v>
      </c>
      <c r="H110" s="7">
        <v>3800</v>
      </c>
      <c r="I110" s="106" t="s">
        <v>122</v>
      </c>
      <c r="J110" s="106" t="s">
        <v>128</v>
      </c>
      <c r="K110" s="106">
        <v>2023</v>
      </c>
    </row>
    <row r="111" spans="1:11" x14ac:dyDescent="0.25">
      <c r="A111" s="113">
        <v>45103</v>
      </c>
      <c r="B111" s="106" t="s">
        <v>76</v>
      </c>
      <c r="C111" s="106" t="s">
        <v>17</v>
      </c>
      <c r="D111" s="106">
        <v>200</v>
      </c>
      <c r="E111" s="7">
        <v>400</v>
      </c>
      <c r="F111" s="7">
        <f t="shared" si="1"/>
        <v>80000</v>
      </c>
      <c r="H111" s="7">
        <v>80000</v>
      </c>
      <c r="I111" s="106" t="s">
        <v>118</v>
      </c>
      <c r="J111" s="106" t="s">
        <v>128</v>
      </c>
      <c r="K111" s="106">
        <v>2023</v>
      </c>
    </row>
    <row r="112" spans="1:11" x14ac:dyDescent="0.25">
      <c r="A112" s="113">
        <v>45106</v>
      </c>
      <c r="B112" s="106" t="s">
        <v>76</v>
      </c>
      <c r="C112" s="106" t="s">
        <v>17</v>
      </c>
      <c r="D112" s="106">
        <v>400</v>
      </c>
      <c r="E112" s="7">
        <v>400</v>
      </c>
      <c r="F112" s="7">
        <f t="shared" si="1"/>
        <v>160000</v>
      </c>
      <c r="H112" s="7">
        <v>160000</v>
      </c>
      <c r="I112" s="106" t="s">
        <v>121</v>
      </c>
      <c r="J112" s="106" t="s">
        <v>128</v>
      </c>
      <c r="K112" s="106">
        <v>2023</v>
      </c>
    </row>
    <row r="113" spans="1:11" x14ac:dyDescent="0.25">
      <c r="A113" s="113">
        <v>45121</v>
      </c>
      <c r="B113" s="106" t="s">
        <v>77</v>
      </c>
      <c r="C113" s="106" t="s">
        <v>19</v>
      </c>
      <c r="D113" s="106">
        <v>200</v>
      </c>
      <c r="E113" s="7">
        <v>370</v>
      </c>
      <c r="F113" s="7">
        <f t="shared" si="1"/>
        <v>74000</v>
      </c>
      <c r="H113" s="7">
        <v>74000</v>
      </c>
      <c r="I113" s="106" t="s">
        <v>120</v>
      </c>
      <c r="J113" s="106" t="s">
        <v>129</v>
      </c>
      <c r="K113" s="106">
        <v>2023</v>
      </c>
    </row>
    <row r="114" spans="1:11" x14ac:dyDescent="0.25">
      <c r="A114" s="113">
        <v>45122</v>
      </c>
      <c r="B114" s="106" t="s">
        <v>73</v>
      </c>
      <c r="C114" s="106" t="s">
        <v>17</v>
      </c>
      <c r="D114" s="106">
        <v>200</v>
      </c>
      <c r="E114" s="7">
        <v>380</v>
      </c>
      <c r="F114" s="7">
        <f t="shared" si="1"/>
        <v>76000</v>
      </c>
      <c r="H114" s="7">
        <v>76000</v>
      </c>
      <c r="I114" s="106" t="s">
        <v>116</v>
      </c>
      <c r="J114" s="106" t="s">
        <v>129</v>
      </c>
      <c r="K114" s="106">
        <v>2023</v>
      </c>
    </row>
    <row r="115" spans="1:11" x14ac:dyDescent="0.25">
      <c r="A115" s="113">
        <v>45131</v>
      </c>
      <c r="B115" s="106" t="s">
        <v>78</v>
      </c>
      <c r="C115" s="106" t="s">
        <v>17</v>
      </c>
      <c r="D115" s="106">
        <v>70</v>
      </c>
      <c r="E115" s="7">
        <v>450</v>
      </c>
      <c r="F115" s="7">
        <f t="shared" si="1"/>
        <v>31500</v>
      </c>
      <c r="H115" s="7">
        <v>31500</v>
      </c>
      <c r="I115" s="106" t="s">
        <v>118</v>
      </c>
      <c r="J115" s="106" t="s">
        <v>129</v>
      </c>
      <c r="K115" s="106">
        <v>2023</v>
      </c>
    </row>
    <row r="116" spans="1:11" x14ac:dyDescent="0.25">
      <c r="A116" s="113">
        <v>45144</v>
      </c>
      <c r="B116" s="106" t="s">
        <v>72</v>
      </c>
      <c r="C116" s="106" t="s">
        <v>19</v>
      </c>
      <c r="D116" s="106">
        <v>80</v>
      </c>
      <c r="E116" s="7">
        <v>400</v>
      </c>
      <c r="F116" s="7">
        <f t="shared" si="1"/>
        <v>32000</v>
      </c>
      <c r="H116" s="7">
        <v>32000</v>
      </c>
      <c r="I116" s="106" t="s">
        <v>122</v>
      </c>
      <c r="J116" s="106" t="s">
        <v>130</v>
      </c>
      <c r="K116" s="106">
        <v>2023</v>
      </c>
    </row>
    <row r="117" spans="1:11" x14ac:dyDescent="0.25">
      <c r="A117" s="113">
        <v>45155</v>
      </c>
      <c r="B117" s="106" t="s">
        <v>79</v>
      </c>
      <c r="C117" s="106" t="s">
        <v>19</v>
      </c>
      <c r="D117" s="106">
        <v>180</v>
      </c>
      <c r="E117" s="7">
        <v>390</v>
      </c>
      <c r="F117" s="7">
        <f t="shared" si="1"/>
        <v>70200</v>
      </c>
      <c r="H117" s="7">
        <v>70200</v>
      </c>
      <c r="I117" s="106" t="s">
        <v>121</v>
      </c>
      <c r="J117" s="106" t="s">
        <v>130</v>
      </c>
      <c r="K117" s="106">
        <v>2023</v>
      </c>
    </row>
    <row r="118" spans="1:11" x14ac:dyDescent="0.25">
      <c r="A118" s="113">
        <v>45166</v>
      </c>
      <c r="B118" s="106" t="s">
        <v>67</v>
      </c>
      <c r="C118" s="106" t="s">
        <v>17</v>
      </c>
      <c r="D118" s="106">
        <v>180</v>
      </c>
      <c r="E118" s="7">
        <v>450</v>
      </c>
      <c r="F118" s="7">
        <f t="shared" si="1"/>
        <v>81000</v>
      </c>
      <c r="G118" s="7">
        <v>1000</v>
      </c>
      <c r="H118" s="7">
        <v>80000</v>
      </c>
      <c r="I118" s="106" t="s">
        <v>118</v>
      </c>
      <c r="J118" s="106" t="s">
        <v>130</v>
      </c>
      <c r="K118" s="106">
        <v>2023</v>
      </c>
    </row>
    <row r="119" spans="1:11" x14ac:dyDescent="0.25">
      <c r="A119" s="113">
        <v>45170</v>
      </c>
      <c r="B119" s="106" t="s">
        <v>70</v>
      </c>
      <c r="C119" s="106" t="s">
        <v>17</v>
      </c>
      <c r="D119" s="106">
        <v>500</v>
      </c>
      <c r="E119" s="7">
        <v>440</v>
      </c>
      <c r="F119" s="7">
        <f t="shared" si="1"/>
        <v>220000</v>
      </c>
      <c r="H119" s="7">
        <v>220000</v>
      </c>
      <c r="I119" s="106" t="s">
        <v>120</v>
      </c>
      <c r="J119" s="106" t="s">
        <v>131</v>
      </c>
      <c r="K119" s="106">
        <v>2023</v>
      </c>
    </row>
    <row r="120" spans="1:11" x14ac:dyDescent="0.25">
      <c r="A120" s="113">
        <v>45170</v>
      </c>
      <c r="B120" s="106" t="s">
        <v>70</v>
      </c>
      <c r="C120" s="106" t="s">
        <v>19</v>
      </c>
      <c r="D120" s="106">
        <v>100</v>
      </c>
      <c r="E120" s="7">
        <v>400</v>
      </c>
      <c r="F120" s="7">
        <f t="shared" si="1"/>
        <v>40000</v>
      </c>
      <c r="H120" s="7">
        <v>40000</v>
      </c>
      <c r="I120" s="106" t="s">
        <v>120</v>
      </c>
      <c r="J120" s="106" t="s">
        <v>131</v>
      </c>
      <c r="K120" s="106">
        <v>2023</v>
      </c>
    </row>
    <row r="121" spans="1:11" x14ac:dyDescent="0.25">
      <c r="A121" s="113">
        <v>45171</v>
      </c>
      <c r="B121" s="106" t="s">
        <v>80</v>
      </c>
      <c r="C121" s="106" t="s">
        <v>19</v>
      </c>
      <c r="D121" s="106">
        <v>8</v>
      </c>
      <c r="E121" s="7">
        <v>400</v>
      </c>
      <c r="F121" s="7">
        <f t="shared" si="1"/>
        <v>3200</v>
      </c>
      <c r="H121" s="7">
        <v>3200</v>
      </c>
      <c r="I121" s="106" t="s">
        <v>116</v>
      </c>
      <c r="J121" s="106" t="s">
        <v>131</v>
      </c>
      <c r="K121" s="106">
        <v>2023</v>
      </c>
    </row>
    <row r="122" spans="1:11" x14ac:dyDescent="0.25">
      <c r="A122" s="113">
        <v>45174</v>
      </c>
      <c r="B122" s="106" t="s">
        <v>70</v>
      </c>
      <c r="C122" s="106" t="s">
        <v>19</v>
      </c>
      <c r="D122" s="106">
        <v>120</v>
      </c>
      <c r="E122" s="7">
        <v>400</v>
      </c>
      <c r="F122" s="7">
        <f t="shared" si="1"/>
        <v>48000</v>
      </c>
      <c r="H122" s="7">
        <v>48000</v>
      </c>
      <c r="I122" s="106" t="s">
        <v>119</v>
      </c>
      <c r="J122" s="106" t="s">
        <v>131</v>
      </c>
      <c r="K122" s="106">
        <v>2023</v>
      </c>
    </row>
    <row r="123" spans="1:11" x14ac:dyDescent="0.25">
      <c r="A123" s="113">
        <v>45187</v>
      </c>
      <c r="B123" s="106" t="s">
        <v>70</v>
      </c>
      <c r="C123" s="106" t="s">
        <v>17</v>
      </c>
      <c r="D123" s="106">
        <v>800</v>
      </c>
      <c r="E123" s="7">
        <v>450</v>
      </c>
      <c r="F123" s="7">
        <f t="shared" si="1"/>
        <v>360000</v>
      </c>
      <c r="H123" s="7">
        <v>360000</v>
      </c>
      <c r="I123" s="106" t="s">
        <v>118</v>
      </c>
      <c r="J123" s="106" t="s">
        <v>131</v>
      </c>
      <c r="K123" s="106">
        <v>2023</v>
      </c>
    </row>
    <row r="124" spans="1:11" x14ac:dyDescent="0.25">
      <c r="A124" s="113">
        <v>45188</v>
      </c>
      <c r="B124" s="106" t="s">
        <v>69</v>
      </c>
      <c r="C124" s="106" t="s">
        <v>19</v>
      </c>
      <c r="D124" s="106">
        <v>200</v>
      </c>
      <c r="E124" s="7">
        <v>400</v>
      </c>
      <c r="F124" s="7">
        <f t="shared" si="1"/>
        <v>80000</v>
      </c>
      <c r="H124" s="7">
        <v>80000</v>
      </c>
      <c r="I124" s="106" t="s">
        <v>119</v>
      </c>
      <c r="J124" s="106" t="s">
        <v>131</v>
      </c>
      <c r="K124" s="106">
        <v>2023</v>
      </c>
    </row>
    <row r="125" spans="1:11" x14ac:dyDescent="0.25">
      <c r="A125" s="113">
        <v>45198</v>
      </c>
      <c r="B125" s="106" t="s">
        <v>81</v>
      </c>
      <c r="C125" s="106" t="s">
        <v>17</v>
      </c>
      <c r="D125" s="106">
        <v>150</v>
      </c>
      <c r="E125" s="7">
        <v>450</v>
      </c>
      <c r="F125" s="7">
        <f t="shared" si="1"/>
        <v>67500</v>
      </c>
      <c r="H125" s="7">
        <v>67500</v>
      </c>
      <c r="I125" s="106" t="s">
        <v>120</v>
      </c>
      <c r="J125" s="106" t="s">
        <v>131</v>
      </c>
      <c r="K125" s="106">
        <v>2023</v>
      </c>
    </row>
    <row r="126" spans="1:11" x14ac:dyDescent="0.25">
      <c r="A126" s="113">
        <v>45198</v>
      </c>
      <c r="B126" s="106" t="s">
        <v>44</v>
      </c>
      <c r="C126" s="106" t="s">
        <v>17</v>
      </c>
      <c r="D126" s="106">
        <v>50</v>
      </c>
      <c r="E126" s="7">
        <v>450</v>
      </c>
      <c r="F126" s="7">
        <f t="shared" si="1"/>
        <v>22500</v>
      </c>
      <c r="H126" s="7">
        <v>22500</v>
      </c>
      <c r="I126" s="106" t="s">
        <v>120</v>
      </c>
      <c r="J126" s="106" t="s">
        <v>131</v>
      </c>
      <c r="K126" s="106">
        <v>2023</v>
      </c>
    </row>
    <row r="127" spans="1:11" x14ac:dyDescent="0.25">
      <c r="A127" s="113">
        <v>45201</v>
      </c>
      <c r="B127" s="106" t="s">
        <v>82</v>
      </c>
      <c r="C127" s="106" t="s">
        <v>17</v>
      </c>
      <c r="D127" s="106">
        <v>300</v>
      </c>
      <c r="E127" s="7">
        <v>450</v>
      </c>
      <c r="F127" s="7">
        <f t="shared" si="1"/>
        <v>135000</v>
      </c>
      <c r="H127" s="7">
        <v>135000</v>
      </c>
      <c r="I127" s="106" t="s">
        <v>118</v>
      </c>
      <c r="J127" s="106" t="s">
        <v>132</v>
      </c>
      <c r="K127" s="106">
        <v>2023</v>
      </c>
    </row>
    <row r="128" spans="1:11" x14ac:dyDescent="0.25">
      <c r="A128" s="113">
        <v>45201</v>
      </c>
      <c r="B128" s="106" t="s">
        <v>83</v>
      </c>
      <c r="C128" s="106" t="s">
        <v>19</v>
      </c>
      <c r="D128" s="106">
        <v>26</v>
      </c>
      <c r="E128" s="7">
        <v>430</v>
      </c>
      <c r="F128" s="7">
        <f t="shared" si="1"/>
        <v>11180</v>
      </c>
      <c r="H128" s="7">
        <v>11180</v>
      </c>
      <c r="I128" s="106" t="s">
        <v>118</v>
      </c>
      <c r="J128" s="106" t="s">
        <v>132</v>
      </c>
      <c r="K128" s="106">
        <v>2023</v>
      </c>
    </row>
    <row r="129" spans="1:11" x14ac:dyDescent="0.25">
      <c r="A129" s="113">
        <v>45201</v>
      </c>
      <c r="B129" s="106" t="s">
        <v>84</v>
      </c>
      <c r="C129" s="106" t="s">
        <v>17</v>
      </c>
      <c r="D129" s="106">
        <v>50</v>
      </c>
      <c r="E129" s="7">
        <v>450</v>
      </c>
      <c r="F129" s="7">
        <f t="shared" si="1"/>
        <v>22500</v>
      </c>
      <c r="H129" s="7">
        <v>22500</v>
      </c>
      <c r="I129" s="106" t="s">
        <v>118</v>
      </c>
      <c r="J129" s="106" t="s">
        <v>132</v>
      </c>
      <c r="K129" s="106">
        <v>2023</v>
      </c>
    </row>
    <row r="130" spans="1:11" x14ac:dyDescent="0.25">
      <c r="A130" s="113">
        <v>45209</v>
      </c>
      <c r="B130" s="106" t="s">
        <v>82</v>
      </c>
      <c r="C130" s="106" t="s">
        <v>17</v>
      </c>
      <c r="D130" s="106">
        <v>400</v>
      </c>
      <c r="E130" s="7">
        <v>460</v>
      </c>
      <c r="F130" s="7">
        <f t="shared" ref="F130:F193" si="2">D130*E130</f>
        <v>184000</v>
      </c>
      <c r="H130" s="7">
        <v>184000</v>
      </c>
      <c r="I130" s="106" t="s">
        <v>119</v>
      </c>
      <c r="J130" s="106" t="s">
        <v>132</v>
      </c>
      <c r="K130" s="106">
        <v>2023</v>
      </c>
    </row>
    <row r="131" spans="1:11" x14ac:dyDescent="0.25">
      <c r="A131" s="113">
        <v>45211</v>
      </c>
      <c r="B131" s="106" t="s">
        <v>85</v>
      </c>
      <c r="C131" s="106" t="s">
        <v>19</v>
      </c>
      <c r="D131" s="106">
        <v>175</v>
      </c>
      <c r="E131" s="7">
        <v>420</v>
      </c>
      <c r="F131" s="7">
        <f t="shared" si="2"/>
        <v>73500</v>
      </c>
      <c r="G131" s="7">
        <v>2150</v>
      </c>
      <c r="H131" s="7">
        <v>71350</v>
      </c>
      <c r="I131" s="106" t="s">
        <v>121</v>
      </c>
      <c r="J131" s="106" t="s">
        <v>132</v>
      </c>
      <c r="K131" s="106">
        <v>2023</v>
      </c>
    </row>
    <row r="132" spans="1:11" x14ac:dyDescent="0.25">
      <c r="A132" s="113">
        <v>45213</v>
      </c>
      <c r="B132" s="106" t="s">
        <v>84</v>
      </c>
      <c r="C132" s="106" t="s">
        <v>19</v>
      </c>
      <c r="D132" s="106">
        <v>437</v>
      </c>
      <c r="E132" s="7">
        <v>430</v>
      </c>
      <c r="F132" s="7">
        <f t="shared" si="2"/>
        <v>187910</v>
      </c>
      <c r="H132" s="7">
        <v>187910</v>
      </c>
      <c r="I132" s="106" t="s">
        <v>116</v>
      </c>
      <c r="J132" s="106" t="s">
        <v>132</v>
      </c>
      <c r="K132" s="106">
        <v>2023</v>
      </c>
    </row>
    <row r="133" spans="1:11" x14ac:dyDescent="0.25">
      <c r="A133" s="113">
        <v>45217</v>
      </c>
      <c r="B133" s="106" t="s">
        <v>84</v>
      </c>
      <c r="C133" s="106" t="s">
        <v>19</v>
      </c>
      <c r="D133" s="106">
        <v>450</v>
      </c>
      <c r="E133" s="7">
        <v>430</v>
      </c>
      <c r="F133" s="7">
        <f t="shared" si="2"/>
        <v>193500</v>
      </c>
      <c r="H133" s="7">
        <v>193500</v>
      </c>
      <c r="I133" s="106" t="s">
        <v>117</v>
      </c>
      <c r="J133" s="106" t="s">
        <v>132</v>
      </c>
      <c r="K133" s="106">
        <v>2023</v>
      </c>
    </row>
    <row r="134" spans="1:11" x14ac:dyDescent="0.25">
      <c r="A134" s="113">
        <v>45224</v>
      </c>
      <c r="B134" s="106" t="s">
        <v>82</v>
      </c>
      <c r="C134" s="106" t="s">
        <v>19</v>
      </c>
      <c r="D134" s="106">
        <v>500</v>
      </c>
      <c r="E134" s="7">
        <v>450</v>
      </c>
      <c r="F134" s="7">
        <f t="shared" si="2"/>
        <v>225000</v>
      </c>
      <c r="H134" s="7">
        <v>225000</v>
      </c>
      <c r="I134" s="106" t="s">
        <v>117</v>
      </c>
      <c r="J134" s="106" t="s">
        <v>132</v>
      </c>
      <c r="K134" s="106">
        <v>2023</v>
      </c>
    </row>
    <row r="135" spans="1:11" x14ac:dyDescent="0.25">
      <c r="A135" s="113">
        <v>45230</v>
      </c>
      <c r="B135" s="106" t="s">
        <v>82</v>
      </c>
      <c r="C135" s="106" t="s">
        <v>19</v>
      </c>
      <c r="D135" s="106">
        <v>500</v>
      </c>
      <c r="E135" s="7">
        <v>450</v>
      </c>
      <c r="F135" s="7">
        <f t="shared" si="2"/>
        <v>225000</v>
      </c>
      <c r="H135" s="7">
        <v>225000</v>
      </c>
      <c r="I135" s="106" t="s">
        <v>119</v>
      </c>
      <c r="J135" s="106" t="s">
        <v>132</v>
      </c>
      <c r="K135" s="106">
        <v>2023</v>
      </c>
    </row>
    <row r="136" spans="1:11" x14ac:dyDescent="0.25">
      <c r="A136" s="113">
        <v>45234</v>
      </c>
      <c r="B136" s="106" t="s">
        <v>82</v>
      </c>
      <c r="C136" s="106" t="s">
        <v>19</v>
      </c>
      <c r="D136" s="106">
        <v>250</v>
      </c>
      <c r="E136" s="7">
        <v>450</v>
      </c>
      <c r="F136" s="7">
        <f t="shared" si="2"/>
        <v>112500</v>
      </c>
      <c r="H136" s="7">
        <v>112500</v>
      </c>
      <c r="I136" s="106" t="s">
        <v>116</v>
      </c>
      <c r="J136" s="106" t="s">
        <v>133</v>
      </c>
      <c r="K136" s="106">
        <v>2023</v>
      </c>
    </row>
    <row r="137" spans="1:11" x14ac:dyDescent="0.25">
      <c r="A137" s="113">
        <v>45236</v>
      </c>
      <c r="B137" s="106" t="s">
        <v>82</v>
      </c>
      <c r="C137" s="106" t="s">
        <v>19</v>
      </c>
      <c r="D137" s="106">
        <v>50</v>
      </c>
      <c r="E137" s="7">
        <v>450</v>
      </c>
      <c r="F137" s="7">
        <f t="shared" si="2"/>
        <v>22500</v>
      </c>
      <c r="H137" s="7">
        <v>22500</v>
      </c>
      <c r="I137" s="106" t="s">
        <v>118</v>
      </c>
      <c r="J137" s="106" t="s">
        <v>133</v>
      </c>
      <c r="K137" s="106">
        <v>2023</v>
      </c>
    </row>
    <row r="138" spans="1:11" x14ac:dyDescent="0.25">
      <c r="A138" s="113">
        <v>45239</v>
      </c>
      <c r="B138" s="106" t="s">
        <v>86</v>
      </c>
      <c r="C138" s="106" t="s">
        <v>19</v>
      </c>
      <c r="D138" s="106">
        <v>32</v>
      </c>
      <c r="E138" s="7">
        <v>450</v>
      </c>
      <c r="F138" s="7">
        <f t="shared" si="2"/>
        <v>14400</v>
      </c>
      <c r="H138" s="7">
        <v>14400</v>
      </c>
      <c r="I138" s="106" t="s">
        <v>121</v>
      </c>
      <c r="J138" s="106" t="s">
        <v>133</v>
      </c>
      <c r="K138" s="106">
        <v>2023</v>
      </c>
    </row>
    <row r="139" spans="1:11" x14ac:dyDescent="0.25">
      <c r="A139" s="113">
        <v>45245</v>
      </c>
      <c r="B139" s="106" t="s">
        <v>136</v>
      </c>
      <c r="C139" s="106" t="s">
        <v>17</v>
      </c>
      <c r="D139" s="106">
        <v>100</v>
      </c>
      <c r="E139" s="7">
        <v>500</v>
      </c>
      <c r="F139" s="7">
        <f t="shared" si="2"/>
        <v>50000</v>
      </c>
      <c r="H139" s="7">
        <v>50000</v>
      </c>
      <c r="I139" s="106" t="s">
        <v>117</v>
      </c>
      <c r="J139" s="106" t="s">
        <v>133</v>
      </c>
      <c r="K139" s="106">
        <v>2023</v>
      </c>
    </row>
    <row r="140" spans="1:11" x14ac:dyDescent="0.25">
      <c r="A140" s="113">
        <v>45258</v>
      </c>
      <c r="B140" s="106" t="s">
        <v>82</v>
      </c>
      <c r="C140" s="106" t="s">
        <v>19</v>
      </c>
      <c r="D140" s="106">
        <v>250</v>
      </c>
      <c r="E140" s="7">
        <v>450</v>
      </c>
      <c r="F140" s="7">
        <f t="shared" si="2"/>
        <v>112500</v>
      </c>
      <c r="H140" s="7">
        <v>112500</v>
      </c>
      <c r="I140" s="106" t="s">
        <v>119</v>
      </c>
      <c r="J140" s="106" t="s">
        <v>133</v>
      </c>
      <c r="K140" s="106">
        <v>2023</v>
      </c>
    </row>
    <row r="141" spans="1:11" x14ac:dyDescent="0.25">
      <c r="A141" s="113">
        <v>45260</v>
      </c>
      <c r="B141" s="106" t="s">
        <v>82</v>
      </c>
      <c r="C141" s="106" t="s">
        <v>19</v>
      </c>
      <c r="D141" s="106">
        <v>300</v>
      </c>
      <c r="E141" s="7">
        <v>450</v>
      </c>
      <c r="F141" s="7">
        <f t="shared" si="2"/>
        <v>135000</v>
      </c>
      <c r="H141" s="7">
        <v>135000</v>
      </c>
      <c r="I141" s="106" t="s">
        <v>121</v>
      </c>
      <c r="J141" s="106" t="s">
        <v>133</v>
      </c>
      <c r="K141" s="106">
        <v>2023</v>
      </c>
    </row>
    <row r="142" spans="1:11" x14ac:dyDescent="0.25">
      <c r="A142" s="113">
        <v>45261</v>
      </c>
      <c r="B142" s="106" t="s">
        <v>136</v>
      </c>
      <c r="C142" s="106" t="s">
        <v>17</v>
      </c>
      <c r="D142" s="106">
        <v>200</v>
      </c>
      <c r="E142" s="7">
        <v>500</v>
      </c>
      <c r="F142" s="7">
        <f t="shared" si="2"/>
        <v>100000</v>
      </c>
      <c r="H142" s="7">
        <v>100000</v>
      </c>
      <c r="I142" s="106" t="s">
        <v>120</v>
      </c>
      <c r="J142" s="106" t="s">
        <v>134</v>
      </c>
      <c r="K142" s="106">
        <v>2023</v>
      </c>
    </row>
    <row r="143" spans="1:11" x14ac:dyDescent="0.25">
      <c r="A143" s="113">
        <v>45266</v>
      </c>
      <c r="B143" s="106" t="s">
        <v>87</v>
      </c>
      <c r="C143" s="106" t="s">
        <v>17</v>
      </c>
      <c r="D143" s="106">
        <v>450</v>
      </c>
      <c r="E143" s="7">
        <v>490</v>
      </c>
      <c r="F143" s="7">
        <f t="shared" si="2"/>
        <v>220500</v>
      </c>
      <c r="H143" s="7">
        <v>220500</v>
      </c>
      <c r="I143" s="106" t="s">
        <v>117</v>
      </c>
      <c r="J143" s="106" t="s">
        <v>134</v>
      </c>
      <c r="K143" s="106">
        <v>2023</v>
      </c>
    </row>
    <row r="144" spans="1:11" x14ac:dyDescent="0.25">
      <c r="A144" s="113">
        <v>45273</v>
      </c>
      <c r="B144" s="106" t="s">
        <v>88</v>
      </c>
      <c r="C144" s="106" t="s">
        <v>17</v>
      </c>
      <c r="D144" s="106">
        <v>155</v>
      </c>
      <c r="E144" s="7">
        <v>490</v>
      </c>
      <c r="F144" s="7">
        <f t="shared" si="2"/>
        <v>75950</v>
      </c>
      <c r="H144" s="7">
        <v>75950</v>
      </c>
      <c r="I144" s="106" t="s">
        <v>117</v>
      </c>
      <c r="J144" s="106" t="s">
        <v>134</v>
      </c>
      <c r="K144" s="106">
        <v>2023</v>
      </c>
    </row>
    <row r="145" spans="1:11" x14ac:dyDescent="0.25">
      <c r="A145" s="113">
        <v>45274</v>
      </c>
      <c r="B145" s="106" t="s">
        <v>87</v>
      </c>
      <c r="C145" s="106" t="s">
        <v>17</v>
      </c>
      <c r="D145" s="106">
        <v>50</v>
      </c>
      <c r="E145" s="7">
        <v>490</v>
      </c>
      <c r="F145" s="7">
        <f t="shared" si="2"/>
        <v>24500</v>
      </c>
      <c r="H145" s="7">
        <v>24500</v>
      </c>
      <c r="I145" s="106" t="s">
        <v>121</v>
      </c>
      <c r="J145" s="106" t="s">
        <v>134</v>
      </c>
      <c r="K145" s="106">
        <v>2023</v>
      </c>
    </row>
    <row r="146" spans="1:11" x14ac:dyDescent="0.25">
      <c r="A146" s="113">
        <v>45274</v>
      </c>
      <c r="B146" s="106" t="s">
        <v>87</v>
      </c>
      <c r="C146" s="106" t="s">
        <v>19</v>
      </c>
      <c r="D146" s="106">
        <v>500</v>
      </c>
      <c r="E146" s="7">
        <v>440</v>
      </c>
      <c r="F146" s="7">
        <f t="shared" si="2"/>
        <v>220000</v>
      </c>
      <c r="H146" s="7">
        <v>220000</v>
      </c>
      <c r="I146" s="106" t="s">
        <v>121</v>
      </c>
      <c r="J146" s="106" t="s">
        <v>134</v>
      </c>
      <c r="K146" s="106">
        <v>2023</v>
      </c>
    </row>
    <row r="147" spans="1:11" x14ac:dyDescent="0.25">
      <c r="A147" s="113">
        <v>45276</v>
      </c>
      <c r="B147" s="106" t="s">
        <v>87</v>
      </c>
      <c r="C147" s="106" t="s">
        <v>17</v>
      </c>
      <c r="D147" s="106">
        <v>50</v>
      </c>
      <c r="E147" s="7">
        <v>490</v>
      </c>
      <c r="F147" s="7">
        <f t="shared" si="2"/>
        <v>24500</v>
      </c>
      <c r="H147" s="7">
        <v>24500</v>
      </c>
      <c r="I147" s="106" t="s">
        <v>116</v>
      </c>
      <c r="J147" s="106" t="s">
        <v>134</v>
      </c>
      <c r="K147" s="106">
        <v>2023</v>
      </c>
    </row>
    <row r="148" spans="1:11" x14ac:dyDescent="0.25">
      <c r="A148" s="113">
        <v>45283</v>
      </c>
      <c r="B148" s="106" t="s">
        <v>89</v>
      </c>
      <c r="C148" s="106" t="s">
        <v>19</v>
      </c>
      <c r="D148" s="106">
        <v>100</v>
      </c>
      <c r="E148" s="7">
        <v>450</v>
      </c>
      <c r="F148" s="7">
        <f t="shared" si="2"/>
        <v>45000</v>
      </c>
      <c r="H148" s="7">
        <v>45000</v>
      </c>
      <c r="I148" s="106" t="s">
        <v>116</v>
      </c>
      <c r="J148" s="106" t="s">
        <v>134</v>
      </c>
      <c r="K148" s="106">
        <v>2023</v>
      </c>
    </row>
    <row r="149" spans="1:11" x14ac:dyDescent="0.25">
      <c r="A149" s="113">
        <v>45301</v>
      </c>
      <c r="B149" s="106" t="s">
        <v>69</v>
      </c>
      <c r="C149" s="106" t="s">
        <v>19</v>
      </c>
      <c r="D149" s="106">
        <v>100</v>
      </c>
      <c r="E149" s="7">
        <v>450</v>
      </c>
      <c r="F149" s="7">
        <f t="shared" si="2"/>
        <v>45000</v>
      </c>
      <c r="H149" s="7">
        <v>45000</v>
      </c>
      <c r="I149" s="106" t="s">
        <v>117</v>
      </c>
      <c r="J149" s="106" t="s">
        <v>123</v>
      </c>
      <c r="K149" s="106">
        <v>2024</v>
      </c>
    </row>
    <row r="150" spans="1:11" x14ac:dyDescent="0.25">
      <c r="A150" s="113">
        <v>45314</v>
      </c>
      <c r="B150" s="106" t="s">
        <v>89</v>
      </c>
      <c r="C150" s="106" t="s">
        <v>19</v>
      </c>
      <c r="D150" s="106">
        <v>20</v>
      </c>
      <c r="E150" s="7">
        <v>450</v>
      </c>
      <c r="F150" s="7">
        <f t="shared" si="2"/>
        <v>9000</v>
      </c>
      <c r="H150" s="7">
        <v>9000</v>
      </c>
      <c r="I150" s="106" t="s">
        <v>119</v>
      </c>
      <c r="J150" s="106" t="s">
        <v>123</v>
      </c>
      <c r="K150" s="106">
        <v>2024</v>
      </c>
    </row>
    <row r="151" spans="1:11" x14ac:dyDescent="0.25">
      <c r="A151" s="113">
        <v>45316</v>
      </c>
      <c r="B151" s="106" t="s">
        <v>90</v>
      </c>
      <c r="C151" s="106" t="s">
        <v>19</v>
      </c>
      <c r="D151" s="106">
        <v>500</v>
      </c>
      <c r="E151" s="7">
        <v>400</v>
      </c>
      <c r="F151" s="7">
        <f t="shared" si="2"/>
        <v>200000</v>
      </c>
      <c r="H151" s="7">
        <v>200000</v>
      </c>
      <c r="I151" s="106" t="s">
        <v>121</v>
      </c>
      <c r="J151" s="106" t="s">
        <v>123</v>
      </c>
      <c r="K151" s="106">
        <v>2024</v>
      </c>
    </row>
    <row r="152" spans="1:11" x14ac:dyDescent="0.25">
      <c r="A152" s="113">
        <v>45320</v>
      </c>
      <c r="B152" s="106" t="s">
        <v>90</v>
      </c>
      <c r="C152" s="106" t="s">
        <v>19</v>
      </c>
      <c r="D152" s="106">
        <v>100</v>
      </c>
      <c r="E152" s="7">
        <v>400</v>
      </c>
      <c r="F152" s="7">
        <f t="shared" si="2"/>
        <v>40000</v>
      </c>
      <c r="H152" s="7">
        <v>40000</v>
      </c>
      <c r="I152" s="106" t="s">
        <v>118</v>
      </c>
      <c r="J152" s="106" t="s">
        <v>123</v>
      </c>
      <c r="K152" s="106">
        <v>2024</v>
      </c>
    </row>
    <row r="153" spans="1:11" x14ac:dyDescent="0.25">
      <c r="A153" s="113">
        <v>45337</v>
      </c>
      <c r="B153" s="106" t="s">
        <v>82</v>
      </c>
      <c r="C153" s="106" t="s">
        <v>19</v>
      </c>
      <c r="D153" s="106">
        <v>300</v>
      </c>
      <c r="E153" s="7">
        <v>500</v>
      </c>
      <c r="F153" s="7">
        <f t="shared" si="2"/>
        <v>150000</v>
      </c>
      <c r="H153" s="7">
        <v>150000</v>
      </c>
      <c r="I153" s="106" t="s">
        <v>121</v>
      </c>
      <c r="J153" s="106" t="s">
        <v>124</v>
      </c>
      <c r="K153" s="106">
        <v>2024</v>
      </c>
    </row>
    <row r="154" spans="1:11" x14ac:dyDescent="0.25">
      <c r="A154" s="113">
        <v>45338</v>
      </c>
      <c r="B154" s="106" t="s">
        <v>91</v>
      </c>
      <c r="C154" s="106" t="s">
        <v>19</v>
      </c>
      <c r="D154" s="106">
        <v>700</v>
      </c>
      <c r="E154" s="7">
        <v>500</v>
      </c>
      <c r="F154" s="7">
        <f t="shared" si="2"/>
        <v>350000</v>
      </c>
      <c r="H154" s="7">
        <v>350000</v>
      </c>
      <c r="I154" s="106" t="s">
        <v>120</v>
      </c>
      <c r="J154" s="106" t="s">
        <v>124</v>
      </c>
      <c r="K154" s="106">
        <v>2024</v>
      </c>
    </row>
    <row r="155" spans="1:11" x14ac:dyDescent="0.25">
      <c r="A155" s="113">
        <v>45338</v>
      </c>
      <c r="B155" s="106" t="s">
        <v>91</v>
      </c>
      <c r="C155" s="106" t="s">
        <v>17</v>
      </c>
      <c r="D155" s="106">
        <v>300</v>
      </c>
      <c r="E155" s="7">
        <v>550</v>
      </c>
      <c r="F155" s="7">
        <f t="shared" si="2"/>
        <v>165000</v>
      </c>
      <c r="H155" s="7">
        <v>165000</v>
      </c>
      <c r="I155" s="106" t="s">
        <v>120</v>
      </c>
      <c r="J155" s="106" t="s">
        <v>124</v>
      </c>
      <c r="K155" s="106">
        <v>2024</v>
      </c>
    </row>
    <row r="156" spans="1:11" x14ac:dyDescent="0.25">
      <c r="A156" s="113">
        <v>41692</v>
      </c>
      <c r="B156" s="106" t="s">
        <v>91</v>
      </c>
      <c r="C156" s="106" t="s">
        <v>17</v>
      </c>
      <c r="D156" s="106">
        <v>500</v>
      </c>
      <c r="E156" s="7">
        <v>630</v>
      </c>
      <c r="F156" s="7">
        <f t="shared" si="2"/>
        <v>315000</v>
      </c>
      <c r="H156" s="7">
        <v>315000</v>
      </c>
      <c r="I156" s="106" t="s">
        <v>116</v>
      </c>
      <c r="J156" s="106" t="s">
        <v>124</v>
      </c>
      <c r="K156" s="106">
        <v>2024</v>
      </c>
    </row>
    <row r="157" spans="1:11" x14ac:dyDescent="0.25">
      <c r="A157" s="113">
        <v>45344</v>
      </c>
      <c r="B157" s="106" t="s">
        <v>135</v>
      </c>
      <c r="C157" s="106" t="s">
        <v>18</v>
      </c>
      <c r="D157" s="106">
        <v>150</v>
      </c>
      <c r="E157" s="7">
        <v>630</v>
      </c>
      <c r="F157" s="7">
        <f t="shared" si="2"/>
        <v>94500</v>
      </c>
      <c r="H157" s="7">
        <v>94500</v>
      </c>
      <c r="I157" s="106" t="s">
        <v>121</v>
      </c>
      <c r="J157" s="106" t="s">
        <v>124</v>
      </c>
      <c r="K157" s="106">
        <v>2024</v>
      </c>
    </row>
    <row r="158" spans="1:11" x14ac:dyDescent="0.25">
      <c r="A158" s="113">
        <v>45348</v>
      </c>
      <c r="B158" s="106" t="s">
        <v>135</v>
      </c>
      <c r="C158" s="106" t="s">
        <v>18</v>
      </c>
      <c r="D158" s="106">
        <v>20</v>
      </c>
      <c r="E158" s="7">
        <v>700</v>
      </c>
      <c r="F158" s="7">
        <f t="shared" si="2"/>
        <v>14000</v>
      </c>
      <c r="H158" s="7">
        <v>14000</v>
      </c>
      <c r="I158" s="106" t="s">
        <v>118</v>
      </c>
      <c r="J158" s="106" t="s">
        <v>124</v>
      </c>
      <c r="K158" s="106">
        <v>2024</v>
      </c>
    </row>
    <row r="159" spans="1:11" x14ac:dyDescent="0.25">
      <c r="A159" s="113">
        <v>45349</v>
      </c>
      <c r="B159" s="106" t="s">
        <v>91</v>
      </c>
      <c r="C159" s="106" t="s">
        <v>19</v>
      </c>
      <c r="D159" s="106">
        <v>50</v>
      </c>
      <c r="E159" s="7">
        <v>630</v>
      </c>
      <c r="F159" s="7">
        <f t="shared" si="2"/>
        <v>31500</v>
      </c>
      <c r="H159" s="7">
        <v>31500</v>
      </c>
      <c r="I159" s="106" t="s">
        <v>119</v>
      </c>
      <c r="J159" s="106" t="s">
        <v>124</v>
      </c>
      <c r="K159" s="106">
        <v>2024</v>
      </c>
    </row>
    <row r="160" spans="1:11" x14ac:dyDescent="0.25">
      <c r="A160" s="113">
        <v>45359</v>
      </c>
      <c r="B160" s="106" t="s">
        <v>91</v>
      </c>
      <c r="C160" s="106" t="s">
        <v>19</v>
      </c>
      <c r="D160" s="106">
        <v>85</v>
      </c>
      <c r="E160" s="7">
        <v>630</v>
      </c>
      <c r="F160" s="7">
        <f t="shared" si="2"/>
        <v>53550</v>
      </c>
      <c r="H160" s="7">
        <v>53550</v>
      </c>
      <c r="I160" s="106" t="s">
        <v>120</v>
      </c>
      <c r="J160" s="106" t="s">
        <v>125</v>
      </c>
      <c r="K160" s="106">
        <v>2024</v>
      </c>
    </row>
    <row r="161" spans="1:11" x14ac:dyDescent="0.25">
      <c r="A161" s="113">
        <v>45372</v>
      </c>
      <c r="B161" s="106" t="s">
        <v>92</v>
      </c>
      <c r="C161" s="106" t="s">
        <v>19</v>
      </c>
      <c r="D161" s="106">
        <v>12</v>
      </c>
      <c r="E161" s="7">
        <v>650</v>
      </c>
      <c r="F161" s="7">
        <f t="shared" si="2"/>
        <v>7800</v>
      </c>
      <c r="H161" s="7">
        <v>7800</v>
      </c>
      <c r="I161" s="106" t="s">
        <v>121</v>
      </c>
      <c r="J161" s="106" t="s">
        <v>125</v>
      </c>
      <c r="K161" s="106">
        <v>2024</v>
      </c>
    </row>
    <row r="162" spans="1:11" x14ac:dyDescent="0.25">
      <c r="A162" s="113">
        <v>45377</v>
      </c>
      <c r="B162" s="106" t="s">
        <v>44</v>
      </c>
      <c r="C162" s="106" t="s">
        <v>19</v>
      </c>
      <c r="D162" s="106">
        <v>250</v>
      </c>
      <c r="E162" s="7">
        <v>700</v>
      </c>
      <c r="F162" s="7">
        <f t="shared" si="2"/>
        <v>175000</v>
      </c>
      <c r="H162" s="7">
        <v>175000</v>
      </c>
      <c r="I162" s="106" t="s">
        <v>119</v>
      </c>
      <c r="J162" s="106" t="s">
        <v>125</v>
      </c>
      <c r="K162" s="106">
        <v>2024</v>
      </c>
    </row>
    <row r="163" spans="1:11" x14ac:dyDescent="0.25">
      <c r="A163" s="113">
        <v>41730</v>
      </c>
      <c r="B163" s="106" t="s">
        <v>93</v>
      </c>
      <c r="C163" s="106" t="s">
        <v>19</v>
      </c>
      <c r="D163" s="106">
        <v>30</v>
      </c>
      <c r="E163" s="7">
        <v>750</v>
      </c>
      <c r="F163" s="7">
        <f t="shared" si="2"/>
        <v>22500</v>
      </c>
      <c r="H163" s="7">
        <v>22500</v>
      </c>
      <c r="I163" s="106" t="s">
        <v>119</v>
      </c>
      <c r="J163" s="106" t="s">
        <v>126</v>
      </c>
      <c r="K163" s="106">
        <v>2024</v>
      </c>
    </row>
    <row r="164" spans="1:11" x14ac:dyDescent="0.25">
      <c r="A164" s="113">
        <v>45395</v>
      </c>
      <c r="B164" s="106" t="s">
        <v>94</v>
      </c>
      <c r="C164" s="106" t="s">
        <v>19</v>
      </c>
      <c r="D164" s="106">
        <v>48</v>
      </c>
      <c r="E164" s="7">
        <v>720</v>
      </c>
      <c r="F164" s="7">
        <f t="shared" si="2"/>
        <v>34560</v>
      </c>
      <c r="H164" s="7">
        <v>34560</v>
      </c>
      <c r="I164" s="106" t="s">
        <v>116</v>
      </c>
      <c r="J164" s="106" t="s">
        <v>126</v>
      </c>
      <c r="K164" s="106">
        <v>2024</v>
      </c>
    </row>
    <row r="165" spans="1:11" x14ac:dyDescent="0.25">
      <c r="A165" s="113">
        <v>45395</v>
      </c>
      <c r="B165" s="106" t="s">
        <v>59</v>
      </c>
      <c r="C165" s="106" t="s">
        <v>17</v>
      </c>
      <c r="D165" s="106">
        <v>15</v>
      </c>
      <c r="E165" s="7">
        <v>700</v>
      </c>
      <c r="F165" s="7">
        <f t="shared" si="2"/>
        <v>10500</v>
      </c>
      <c r="H165" s="7">
        <v>10500</v>
      </c>
      <c r="I165" s="106" t="s">
        <v>116</v>
      </c>
      <c r="J165" s="106" t="s">
        <v>126</v>
      </c>
      <c r="K165" s="106">
        <v>2024</v>
      </c>
    </row>
    <row r="166" spans="1:11" x14ac:dyDescent="0.25">
      <c r="A166" s="113">
        <v>45395</v>
      </c>
      <c r="B166" s="106" t="s">
        <v>59</v>
      </c>
      <c r="C166" s="106" t="s">
        <v>19</v>
      </c>
      <c r="D166" s="106">
        <v>40</v>
      </c>
      <c r="E166" s="7">
        <v>800</v>
      </c>
      <c r="F166" s="7">
        <f t="shared" si="2"/>
        <v>32000</v>
      </c>
      <c r="H166" s="7">
        <v>32000</v>
      </c>
      <c r="I166" s="106" t="s">
        <v>116</v>
      </c>
      <c r="J166" s="106" t="s">
        <v>126</v>
      </c>
      <c r="K166" s="106">
        <v>2024</v>
      </c>
    </row>
    <row r="167" spans="1:11" x14ac:dyDescent="0.25">
      <c r="A167" s="113">
        <v>45397</v>
      </c>
      <c r="B167" s="106" t="s">
        <v>92</v>
      </c>
      <c r="C167" s="106" t="s">
        <v>19</v>
      </c>
      <c r="D167" s="106">
        <v>10</v>
      </c>
      <c r="E167" s="7">
        <v>700</v>
      </c>
      <c r="F167" s="7">
        <f t="shared" si="2"/>
        <v>7000</v>
      </c>
      <c r="H167" s="7">
        <v>7000</v>
      </c>
      <c r="I167" s="106" t="s">
        <v>118</v>
      </c>
      <c r="J167" s="106" t="s">
        <v>126</v>
      </c>
      <c r="K167" s="106">
        <v>2024</v>
      </c>
    </row>
    <row r="168" spans="1:11" x14ac:dyDescent="0.25">
      <c r="A168" s="113">
        <v>45397</v>
      </c>
      <c r="B168" s="106" t="s">
        <v>92</v>
      </c>
      <c r="C168" s="106" t="s">
        <v>18</v>
      </c>
      <c r="D168" s="106">
        <v>30</v>
      </c>
      <c r="E168" s="7">
        <v>750</v>
      </c>
      <c r="F168" s="7">
        <f t="shared" si="2"/>
        <v>22500</v>
      </c>
      <c r="H168" s="7">
        <v>22500</v>
      </c>
      <c r="I168" s="106" t="s">
        <v>118</v>
      </c>
      <c r="J168" s="106" t="s">
        <v>126</v>
      </c>
      <c r="K168" s="106">
        <v>2024</v>
      </c>
    </row>
    <row r="169" spans="1:11" x14ac:dyDescent="0.25">
      <c r="A169" s="113">
        <v>45467</v>
      </c>
      <c r="B169" s="106" t="s">
        <v>95</v>
      </c>
      <c r="C169" s="106" t="s">
        <v>17</v>
      </c>
      <c r="D169" s="106">
        <v>16</v>
      </c>
      <c r="E169" s="7">
        <v>700</v>
      </c>
      <c r="F169" s="7">
        <f t="shared" si="2"/>
        <v>11200</v>
      </c>
      <c r="H169" s="7">
        <v>11200</v>
      </c>
      <c r="I169" s="106" t="s">
        <v>118</v>
      </c>
      <c r="J169" s="106" t="s">
        <v>128</v>
      </c>
      <c r="K169" s="106">
        <v>2024</v>
      </c>
    </row>
    <row r="170" spans="1:11" x14ac:dyDescent="0.25">
      <c r="A170" s="113">
        <v>45810</v>
      </c>
      <c r="B170" s="106" t="s">
        <v>50</v>
      </c>
      <c r="C170" s="106" t="s">
        <v>19</v>
      </c>
      <c r="D170" s="106">
        <v>300</v>
      </c>
      <c r="E170" s="7">
        <v>800</v>
      </c>
      <c r="F170" s="7">
        <f t="shared" si="2"/>
        <v>240000</v>
      </c>
      <c r="H170" s="7">
        <v>240000</v>
      </c>
      <c r="I170" s="106" t="s">
        <v>118</v>
      </c>
      <c r="J170" s="106" t="s">
        <v>128</v>
      </c>
      <c r="K170" s="106">
        <v>2025</v>
      </c>
    </row>
    <row r="171" spans="1:11" x14ac:dyDescent="0.25">
      <c r="A171" s="113">
        <v>45820</v>
      </c>
      <c r="B171" s="106" t="s">
        <v>50</v>
      </c>
      <c r="C171" s="106" t="s">
        <v>19</v>
      </c>
      <c r="D171" s="106">
        <v>300</v>
      </c>
      <c r="E171" s="7">
        <v>800</v>
      </c>
      <c r="F171" s="7">
        <f t="shared" si="2"/>
        <v>240000</v>
      </c>
      <c r="H171" s="7">
        <v>240000</v>
      </c>
      <c r="I171" s="106" t="s">
        <v>121</v>
      </c>
      <c r="J171" s="106" t="s">
        <v>128</v>
      </c>
      <c r="K171" s="106">
        <v>2025</v>
      </c>
    </row>
    <row r="172" spans="1:11" x14ac:dyDescent="0.25">
      <c r="A172" s="113">
        <v>45838</v>
      </c>
      <c r="B172" s="106" t="s">
        <v>50</v>
      </c>
      <c r="C172" s="106" t="s">
        <v>19</v>
      </c>
      <c r="D172" s="106">
        <v>200</v>
      </c>
      <c r="E172" s="7">
        <v>800</v>
      </c>
      <c r="F172" s="7">
        <f t="shared" si="2"/>
        <v>160000</v>
      </c>
      <c r="H172" s="7">
        <v>160000</v>
      </c>
      <c r="I172" s="106" t="s">
        <v>118</v>
      </c>
      <c r="J172" s="106" t="s">
        <v>128</v>
      </c>
      <c r="K172" s="106">
        <v>2025</v>
      </c>
    </row>
    <row r="173" spans="1:11" x14ac:dyDescent="0.25">
      <c r="A173" s="113">
        <v>45838</v>
      </c>
      <c r="B173" s="106" t="s">
        <v>96</v>
      </c>
      <c r="C173" s="106" t="s">
        <v>17</v>
      </c>
      <c r="D173" s="106">
        <v>100</v>
      </c>
      <c r="E173" s="7">
        <v>1000</v>
      </c>
      <c r="F173" s="7">
        <f t="shared" si="2"/>
        <v>100000</v>
      </c>
      <c r="H173" s="7">
        <v>100000</v>
      </c>
      <c r="I173" s="106" t="s">
        <v>118</v>
      </c>
      <c r="J173" s="106" t="s">
        <v>128</v>
      </c>
      <c r="K173" s="106">
        <v>2025</v>
      </c>
    </row>
    <row r="174" spans="1:11" x14ac:dyDescent="0.25">
      <c r="A174" s="113">
        <v>45838</v>
      </c>
      <c r="B174" s="106" t="s">
        <v>97</v>
      </c>
      <c r="C174" s="106" t="s">
        <v>19</v>
      </c>
      <c r="D174" s="106">
        <v>25</v>
      </c>
      <c r="E174" s="7">
        <v>800</v>
      </c>
      <c r="F174" s="7">
        <f t="shared" si="2"/>
        <v>20000</v>
      </c>
      <c r="H174" s="7">
        <v>20000</v>
      </c>
      <c r="I174" s="106" t="s">
        <v>118</v>
      </c>
      <c r="J174" s="106" t="s">
        <v>128</v>
      </c>
      <c r="K174" s="106">
        <v>2025</v>
      </c>
    </row>
    <row r="175" spans="1:11" x14ac:dyDescent="0.25">
      <c r="A175" s="113">
        <v>45843</v>
      </c>
      <c r="B175" s="106" t="s">
        <v>98</v>
      </c>
      <c r="C175" s="106" t="s">
        <v>17</v>
      </c>
      <c r="D175" s="106">
        <v>550</v>
      </c>
      <c r="E175" s="7">
        <v>950</v>
      </c>
      <c r="F175" s="7">
        <f t="shared" si="2"/>
        <v>522500</v>
      </c>
      <c r="H175" s="7">
        <v>522500</v>
      </c>
      <c r="I175" s="106" t="s">
        <v>116</v>
      </c>
      <c r="J175" s="106" t="s">
        <v>129</v>
      </c>
      <c r="K175" s="106">
        <v>2025</v>
      </c>
    </row>
    <row r="176" spans="1:11" x14ac:dyDescent="0.25">
      <c r="A176" s="113">
        <v>45843</v>
      </c>
      <c r="B176" s="106" t="s">
        <v>99</v>
      </c>
      <c r="C176" s="106" t="s">
        <v>19</v>
      </c>
      <c r="D176" s="106">
        <v>100</v>
      </c>
      <c r="E176" s="7">
        <v>800</v>
      </c>
      <c r="F176" s="7">
        <f t="shared" si="2"/>
        <v>80000</v>
      </c>
      <c r="H176" s="7">
        <v>80000</v>
      </c>
      <c r="I176" s="106" t="s">
        <v>116</v>
      </c>
      <c r="J176" s="106" t="s">
        <v>129</v>
      </c>
      <c r="K176" s="106">
        <v>2025</v>
      </c>
    </row>
    <row r="177" spans="1:11" x14ac:dyDescent="0.25">
      <c r="A177" s="113">
        <v>45862</v>
      </c>
      <c r="B177" s="106" t="s">
        <v>44</v>
      </c>
      <c r="C177" s="106" t="s">
        <v>19</v>
      </c>
      <c r="D177" s="106">
        <v>200</v>
      </c>
      <c r="E177" s="7">
        <v>800</v>
      </c>
      <c r="F177" s="7">
        <f t="shared" si="2"/>
        <v>160000</v>
      </c>
      <c r="H177" s="7">
        <v>160000</v>
      </c>
      <c r="I177" s="106" t="s">
        <v>121</v>
      </c>
      <c r="J177" s="106" t="s">
        <v>129</v>
      </c>
      <c r="K177" s="106">
        <v>2025</v>
      </c>
    </row>
    <row r="178" spans="1:11" x14ac:dyDescent="0.25">
      <c r="A178" s="113">
        <v>45871</v>
      </c>
      <c r="B178" s="106" t="s">
        <v>100</v>
      </c>
      <c r="C178" s="106" t="s">
        <v>19</v>
      </c>
      <c r="D178" s="106">
        <v>25</v>
      </c>
      <c r="E178" s="7">
        <v>800</v>
      </c>
      <c r="F178" s="7">
        <f t="shared" si="2"/>
        <v>20000</v>
      </c>
      <c r="G178" s="7">
        <v>20000</v>
      </c>
      <c r="H178" s="7">
        <v>0</v>
      </c>
      <c r="I178" s="106" t="s">
        <v>116</v>
      </c>
      <c r="J178" s="106" t="s">
        <v>130</v>
      </c>
      <c r="K178" s="106">
        <v>2025</v>
      </c>
    </row>
    <row r="179" spans="1:11" x14ac:dyDescent="0.25">
      <c r="A179" s="113">
        <v>45891</v>
      </c>
      <c r="B179" s="106" t="s">
        <v>101</v>
      </c>
      <c r="C179" s="106" t="s">
        <v>19</v>
      </c>
      <c r="D179" s="106">
        <v>24</v>
      </c>
      <c r="E179" s="7">
        <v>700</v>
      </c>
      <c r="F179" s="7">
        <f t="shared" si="2"/>
        <v>16800</v>
      </c>
      <c r="H179" s="7">
        <v>16800</v>
      </c>
      <c r="I179" s="106" t="s">
        <v>120</v>
      </c>
      <c r="J179" s="106" t="s">
        <v>130</v>
      </c>
      <c r="K179" s="106">
        <v>2025</v>
      </c>
    </row>
    <row r="180" spans="1:11" x14ac:dyDescent="0.25">
      <c r="A180" s="113">
        <v>45893</v>
      </c>
      <c r="B180" s="106" t="s">
        <v>102</v>
      </c>
      <c r="C180" s="106" t="s">
        <v>17</v>
      </c>
      <c r="D180" s="106">
        <v>40</v>
      </c>
      <c r="E180" s="7">
        <v>900</v>
      </c>
      <c r="F180" s="7">
        <f t="shared" si="2"/>
        <v>36000</v>
      </c>
      <c r="H180" s="7">
        <v>36000</v>
      </c>
      <c r="I180" s="106" t="s">
        <v>122</v>
      </c>
      <c r="J180" s="106" t="s">
        <v>130</v>
      </c>
      <c r="K180" s="106">
        <v>2025</v>
      </c>
    </row>
    <row r="181" spans="1:11" x14ac:dyDescent="0.25">
      <c r="A181" s="113">
        <v>45896</v>
      </c>
      <c r="B181" s="106" t="s">
        <v>103</v>
      </c>
      <c r="C181" s="106" t="s">
        <v>19</v>
      </c>
      <c r="D181" s="106">
        <v>38</v>
      </c>
      <c r="E181" s="7">
        <v>800</v>
      </c>
      <c r="F181" s="7">
        <f t="shared" si="2"/>
        <v>30400</v>
      </c>
      <c r="G181" s="7">
        <v>30400</v>
      </c>
      <c r="H181" s="7">
        <v>0</v>
      </c>
      <c r="I181" s="106" t="s">
        <v>117</v>
      </c>
      <c r="J181" s="106" t="s">
        <v>130</v>
      </c>
      <c r="K181" s="106">
        <v>2025</v>
      </c>
    </row>
    <row r="182" spans="1:11" x14ac:dyDescent="0.25">
      <c r="A182" s="113">
        <v>45897</v>
      </c>
      <c r="B182" s="106" t="s">
        <v>104</v>
      </c>
      <c r="C182" s="106" t="s">
        <v>17</v>
      </c>
      <c r="D182" s="106">
        <v>250</v>
      </c>
      <c r="E182" s="7">
        <v>950</v>
      </c>
      <c r="F182" s="7">
        <f t="shared" si="2"/>
        <v>237500</v>
      </c>
      <c r="H182" s="7">
        <v>237500</v>
      </c>
      <c r="I182" s="106" t="s">
        <v>121</v>
      </c>
      <c r="J182" s="106" t="s">
        <v>130</v>
      </c>
      <c r="K182" s="106">
        <v>2025</v>
      </c>
    </row>
    <row r="183" spans="1:11" x14ac:dyDescent="0.25">
      <c r="A183" s="113">
        <v>45903</v>
      </c>
      <c r="B183" s="106" t="s">
        <v>99</v>
      </c>
      <c r="C183" s="106" t="s">
        <v>19</v>
      </c>
      <c r="D183" s="106">
        <v>500</v>
      </c>
      <c r="E183" s="7">
        <v>800</v>
      </c>
      <c r="F183" s="7">
        <f t="shared" si="2"/>
        <v>400000</v>
      </c>
      <c r="H183" s="7">
        <v>400000</v>
      </c>
      <c r="I183" s="106" t="s">
        <v>117</v>
      </c>
      <c r="J183" s="106" t="s">
        <v>131</v>
      </c>
      <c r="K183" s="106">
        <v>2025</v>
      </c>
    </row>
    <row r="184" spans="1:11" x14ac:dyDescent="0.25">
      <c r="A184" s="113">
        <v>45919</v>
      </c>
      <c r="B184" s="106" t="s">
        <v>105</v>
      </c>
      <c r="C184" s="106" t="s">
        <v>19</v>
      </c>
      <c r="D184" s="106">
        <v>50</v>
      </c>
      <c r="E184" s="7">
        <v>730</v>
      </c>
      <c r="F184" s="7">
        <f t="shared" si="2"/>
        <v>36500</v>
      </c>
      <c r="H184" s="7">
        <v>36500</v>
      </c>
      <c r="I184" s="106" t="s">
        <v>120</v>
      </c>
      <c r="J184" s="106" t="s">
        <v>131</v>
      </c>
      <c r="K184" s="106">
        <v>2025</v>
      </c>
    </row>
    <row r="185" spans="1:11" x14ac:dyDescent="0.25">
      <c r="A185" s="113">
        <v>45939</v>
      </c>
      <c r="B185" s="106" t="s">
        <v>106</v>
      </c>
      <c r="C185" s="106" t="s">
        <v>19</v>
      </c>
      <c r="D185" s="106">
        <v>100</v>
      </c>
      <c r="E185" s="7">
        <v>800</v>
      </c>
      <c r="F185" s="7">
        <f t="shared" si="2"/>
        <v>80000</v>
      </c>
      <c r="H185" s="7">
        <v>80000</v>
      </c>
      <c r="I185" s="106" t="s">
        <v>121</v>
      </c>
      <c r="J185" s="106" t="s">
        <v>132</v>
      </c>
      <c r="K185" s="106">
        <v>2025</v>
      </c>
    </row>
    <row r="186" spans="1:11" x14ac:dyDescent="0.25">
      <c r="A186" s="113">
        <v>45939</v>
      </c>
      <c r="B186" s="106" t="s">
        <v>106</v>
      </c>
      <c r="C186" s="106" t="s">
        <v>17</v>
      </c>
      <c r="D186" s="106">
        <v>50</v>
      </c>
      <c r="E186" s="7">
        <v>950</v>
      </c>
      <c r="F186" s="7">
        <f t="shared" si="2"/>
        <v>47500</v>
      </c>
      <c r="H186" s="7">
        <v>47500</v>
      </c>
      <c r="I186" s="106" t="s">
        <v>121</v>
      </c>
      <c r="J186" s="106" t="s">
        <v>132</v>
      </c>
      <c r="K186" s="106">
        <v>2025</v>
      </c>
    </row>
    <row r="187" spans="1:11" x14ac:dyDescent="0.25">
      <c r="A187" s="113">
        <v>45940</v>
      </c>
      <c r="B187" s="106" t="s">
        <v>106</v>
      </c>
      <c r="C187" s="106" t="s">
        <v>19</v>
      </c>
      <c r="D187" s="106">
        <v>20</v>
      </c>
      <c r="E187" s="7">
        <v>800</v>
      </c>
      <c r="F187" s="7">
        <f t="shared" si="2"/>
        <v>16000</v>
      </c>
      <c r="H187" s="7">
        <v>16000</v>
      </c>
      <c r="I187" s="106" t="s">
        <v>120</v>
      </c>
      <c r="J187" s="106" t="s">
        <v>132</v>
      </c>
      <c r="K187" s="106">
        <v>2025</v>
      </c>
    </row>
    <row r="188" spans="1:11" x14ac:dyDescent="0.25">
      <c r="A188" s="113">
        <v>45952</v>
      </c>
      <c r="B188" s="106" t="s">
        <v>107</v>
      </c>
      <c r="C188" s="106" t="s">
        <v>19</v>
      </c>
      <c r="D188" s="106">
        <v>14</v>
      </c>
      <c r="E188" s="7">
        <v>800</v>
      </c>
      <c r="F188" s="7">
        <f t="shared" si="2"/>
        <v>11200</v>
      </c>
      <c r="G188" s="7">
        <v>5000</v>
      </c>
      <c r="H188" s="7">
        <v>6200</v>
      </c>
      <c r="I188" s="106" t="s">
        <v>117</v>
      </c>
      <c r="J188" s="106" t="s">
        <v>132</v>
      </c>
      <c r="K188" s="106">
        <v>2025</v>
      </c>
    </row>
    <row r="189" spans="1:11" x14ac:dyDescent="0.25">
      <c r="A189" s="113">
        <v>45958</v>
      </c>
      <c r="B189" s="106" t="s">
        <v>108</v>
      </c>
      <c r="C189" s="106" t="s">
        <v>19</v>
      </c>
      <c r="D189" s="106">
        <v>100</v>
      </c>
      <c r="E189" s="7">
        <v>800</v>
      </c>
      <c r="F189" s="7">
        <f t="shared" si="2"/>
        <v>80000</v>
      </c>
      <c r="H189" s="7">
        <v>80000</v>
      </c>
      <c r="I189" s="106" t="s">
        <v>119</v>
      </c>
      <c r="J189" s="106" t="s">
        <v>132</v>
      </c>
      <c r="K189" s="106">
        <v>2025</v>
      </c>
    </row>
    <row r="190" spans="1:11" x14ac:dyDescent="0.25">
      <c r="A190" s="113">
        <v>45958</v>
      </c>
      <c r="B190" s="106" t="s">
        <v>108</v>
      </c>
      <c r="C190" s="106" t="s">
        <v>17</v>
      </c>
      <c r="D190" s="106">
        <v>130</v>
      </c>
      <c r="E190" s="7">
        <v>1000</v>
      </c>
      <c r="F190" s="7">
        <f t="shared" si="2"/>
        <v>130000</v>
      </c>
      <c r="H190" s="7">
        <v>130000</v>
      </c>
      <c r="I190" s="106" t="s">
        <v>119</v>
      </c>
      <c r="J190" s="106" t="s">
        <v>132</v>
      </c>
      <c r="K190" s="106">
        <v>2025</v>
      </c>
    </row>
    <row r="191" spans="1:11" x14ac:dyDescent="0.25">
      <c r="A191" s="113">
        <v>45976</v>
      </c>
      <c r="B191" s="106" t="s">
        <v>109</v>
      </c>
      <c r="C191" s="106" t="s">
        <v>19</v>
      </c>
      <c r="D191" s="106">
        <v>950</v>
      </c>
      <c r="E191" s="7">
        <v>750</v>
      </c>
      <c r="F191" s="7">
        <f t="shared" si="2"/>
        <v>712500</v>
      </c>
      <c r="H191" s="7">
        <v>712500</v>
      </c>
      <c r="I191" s="106" t="s">
        <v>116</v>
      </c>
      <c r="J191" s="106" t="s">
        <v>133</v>
      </c>
      <c r="K191" s="106">
        <v>2025</v>
      </c>
    </row>
    <row r="192" spans="1:11" x14ac:dyDescent="0.25">
      <c r="A192" s="113">
        <v>45982</v>
      </c>
      <c r="B192" s="106" t="s">
        <v>44</v>
      </c>
      <c r="C192" s="106" t="s">
        <v>19</v>
      </c>
      <c r="D192" s="106">
        <v>30</v>
      </c>
      <c r="E192" s="7">
        <v>900</v>
      </c>
      <c r="F192" s="7">
        <f t="shared" si="2"/>
        <v>27000</v>
      </c>
      <c r="H192" s="7">
        <v>27000</v>
      </c>
      <c r="I192" s="106" t="s">
        <v>120</v>
      </c>
      <c r="J192" s="106" t="s">
        <v>133</v>
      </c>
      <c r="K192" s="106">
        <v>2025</v>
      </c>
    </row>
    <row r="193" spans="1:12" x14ac:dyDescent="0.25">
      <c r="A193" s="113">
        <v>45983</v>
      </c>
      <c r="B193" s="106" t="s">
        <v>108</v>
      </c>
      <c r="C193" s="106" t="s">
        <v>19</v>
      </c>
      <c r="D193" s="106">
        <v>25</v>
      </c>
      <c r="E193" s="7">
        <v>800</v>
      </c>
      <c r="F193" s="7">
        <f t="shared" si="2"/>
        <v>20000</v>
      </c>
      <c r="H193" s="7">
        <v>20000</v>
      </c>
      <c r="I193" s="106" t="s">
        <v>116</v>
      </c>
      <c r="J193" s="106" t="s">
        <v>133</v>
      </c>
      <c r="K193" s="106">
        <v>2025</v>
      </c>
    </row>
    <row r="194" spans="1:12" x14ac:dyDescent="0.25">
      <c r="A194" s="113">
        <v>45983</v>
      </c>
      <c r="B194" s="106" t="s">
        <v>108</v>
      </c>
      <c r="C194" s="106" t="s">
        <v>17</v>
      </c>
      <c r="D194" s="106">
        <v>126</v>
      </c>
      <c r="E194" s="7">
        <v>1000</v>
      </c>
      <c r="F194" s="7">
        <f t="shared" ref="F194:F199" si="3">D194*E194</f>
        <v>126000</v>
      </c>
      <c r="H194" s="7">
        <v>126000</v>
      </c>
      <c r="I194" s="106" t="s">
        <v>116</v>
      </c>
      <c r="J194" s="106" t="s">
        <v>133</v>
      </c>
      <c r="K194" s="106">
        <v>2025</v>
      </c>
    </row>
    <row r="195" spans="1:12" x14ac:dyDescent="0.25">
      <c r="A195" s="113">
        <v>45996</v>
      </c>
      <c r="B195" s="106" t="s">
        <v>110</v>
      </c>
      <c r="C195" s="106" t="s">
        <v>17</v>
      </c>
      <c r="D195" s="106">
        <v>405</v>
      </c>
      <c r="E195" s="7">
        <v>1000</v>
      </c>
      <c r="F195" s="7">
        <f t="shared" si="3"/>
        <v>405000</v>
      </c>
      <c r="H195" s="7">
        <v>405000</v>
      </c>
      <c r="I195" s="106" t="s">
        <v>120</v>
      </c>
      <c r="J195" s="106" t="s">
        <v>134</v>
      </c>
      <c r="K195" s="106">
        <v>2025</v>
      </c>
    </row>
    <row r="196" spans="1:12" x14ac:dyDescent="0.25">
      <c r="A196" s="113">
        <v>46001</v>
      </c>
      <c r="B196" s="106" t="s">
        <v>109</v>
      </c>
      <c r="C196" s="106" t="s">
        <v>19</v>
      </c>
      <c r="D196" s="106">
        <v>125</v>
      </c>
      <c r="E196" s="7">
        <v>800</v>
      </c>
      <c r="F196" s="7">
        <f t="shared" si="3"/>
        <v>100000</v>
      </c>
      <c r="H196" s="7">
        <v>100000</v>
      </c>
      <c r="I196" s="106" t="s">
        <v>117</v>
      </c>
      <c r="J196" s="106" t="s">
        <v>134</v>
      </c>
      <c r="K196" s="106">
        <v>2025</v>
      </c>
    </row>
    <row r="197" spans="1:12" x14ac:dyDescent="0.25">
      <c r="A197" s="113">
        <v>46015</v>
      </c>
      <c r="B197" s="106" t="s">
        <v>111</v>
      </c>
      <c r="C197" s="106" t="s">
        <v>17</v>
      </c>
      <c r="D197" s="106">
        <v>200</v>
      </c>
      <c r="E197" s="7">
        <v>850</v>
      </c>
      <c r="F197" s="7">
        <f t="shared" si="3"/>
        <v>170000</v>
      </c>
      <c r="H197" s="7">
        <v>170000</v>
      </c>
      <c r="I197" s="106" t="s">
        <v>117</v>
      </c>
      <c r="J197" s="106" t="s">
        <v>134</v>
      </c>
      <c r="K197" s="106">
        <v>2025</v>
      </c>
    </row>
    <row r="198" spans="1:12" x14ac:dyDescent="0.25">
      <c r="A198" s="113">
        <v>46020</v>
      </c>
      <c r="B198" s="106" t="s">
        <v>112</v>
      </c>
      <c r="C198" s="106" t="s">
        <v>19</v>
      </c>
      <c r="D198" s="106">
        <v>20</v>
      </c>
      <c r="E198" s="7">
        <v>900</v>
      </c>
      <c r="F198" s="7">
        <f t="shared" si="3"/>
        <v>18000</v>
      </c>
      <c r="H198" s="7">
        <v>18000</v>
      </c>
      <c r="I198" s="106" t="s">
        <v>118</v>
      </c>
      <c r="J198" s="106" t="s">
        <v>134</v>
      </c>
      <c r="K198" s="106">
        <v>2025</v>
      </c>
    </row>
    <row r="199" spans="1:12" x14ac:dyDescent="0.25">
      <c r="A199" s="113">
        <v>46021</v>
      </c>
      <c r="B199" s="106" t="s">
        <v>113</v>
      </c>
      <c r="C199" s="106" t="s">
        <v>19</v>
      </c>
      <c r="D199" s="106">
        <v>36</v>
      </c>
      <c r="E199" s="7">
        <v>850</v>
      </c>
      <c r="F199" s="7">
        <f t="shared" si="3"/>
        <v>30600</v>
      </c>
      <c r="H199" s="7">
        <v>30600</v>
      </c>
      <c r="I199" s="106" t="s">
        <v>119</v>
      </c>
      <c r="J199" s="106" t="s">
        <v>134</v>
      </c>
      <c r="K199" s="106">
        <v>2025</v>
      </c>
    </row>
    <row r="200" spans="1:12" s="175" customFormat="1" ht="15.75" x14ac:dyDescent="0.25">
      <c r="A200" s="113"/>
      <c r="B200" s="106"/>
      <c r="C200" s="106"/>
      <c r="D200" s="106"/>
      <c r="E200" s="7"/>
      <c r="F200" s="7"/>
      <c r="G200" s="7"/>
      <c r="H200" s="106"/>
      <c r="I200" s="106"/>
      <c r="J200" s="100"/>
      <c r="K200" s="100"/>
      <c r="L200" s="100"/>
    </row>
  </sheetData>
  <dataValidations count="1">
    <dataValidation type="list" allowBlank="1" showInputMessage="1" showErrorMessage="1" sqref="C1:C5 C30 C80:C81 C84:C1048576">
      <formula1>($C$2:$C$4)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47"/>
  <sheetViews>
    <sheetView workbookViewId="0">
      <selection activeCell="C59" sqref="C59:D59"/>
    </sheetView>
  </sheetViews>
  <sheetFormatPr defaultRowHeight="15" x14ac:dyDescent="0.25"/>
  <cols>
    <col min="1" max="1" width="9.85546875" style="111" bestFit="1" customWidth="1"/>
    <col min="2" max="2" width="12.7109375" style="178" customWidth="1"/>
    <col min="3" max="3" width="12.7109375" style="111" customWidth="1"/>
    <col min="4" max="4" width="13.28515625" style="111" customWidth="1"/>
    <col min="5" max="5" width="20.85546875" style="111" customWidth="1"/>
    <col min="6" max="6" width="14.7109375" style="111" customWidth="1"/>
    <col min="7" max="7" width="13.42578125" style="111" customWidth="1"/>
    <col min="8" max="8" width="15.7109375" style="111" customWidth="1"/>
    <col min="9" max="9" width="14.42578125" style="180" customWidth="1"/>
    <col min="10" max="10" width="11.42578125" style="111" customWidth="1"/>
    <col min="11" max="11" width="11.28515625" style="112" customWidth="1"/>
    <col min="12" max="12" width="12.7109375" style="112" customWidth="1"/>
    <col min="13" max="13" width="20.42578125" style="112" customWidth="1"/>
    <col min="14" max="14" width="9.5703125" style="112" customWidth="1"/>
    <col min="15" max="15" width="13.85546875" style="112" customWidth="1"/>
    <col min="16" max="16" width="13.5703125" style="112" customWidth="1"/>
    <col min="17" max="17" width="14.7109375" style="112" customWidth="1"/>
    <col min="18" max="18" width="11.7109375" style="112" customWidth="1"/>
    <col min="19" max="19" width="12" style="112" customWidth="1"/>
    <col min="20" max="20" width="10.85546875" style="112" customWidth="1"/>
    <col min="21" max="21" width="11.28515625" style="112" customWidth="1"/>
    <col min="22" max="16384" width="9.140625" style="111"/>
  </cols>
  <sheetData>
    <row r="1" spans="1:22" s="177" customFormat="1" ht="15.75" x14ac:dyDescent="0.25">
      <c r="A1" s="181" t="s">
        <v>0</v>
      </c>
      <c r="B1" s="182" t="s">
        <v>20</v>
      </c>
      <c r="C1" s="181" t="s">
        <v>21</v>
      </c>
      <c r="D1" s="181" t="s">
        <v>22</v>
      </c>
      <c r="E1" s="181" t="s">
        <v>23</v>
      </c>
      <c r="F1" s="181" t="s">
        <v>24</v>
      </c>
      <c r="G1" s="181" t="s">
        <v>25</v>
      </c>
      <c r="H1" s="181" t="s">
        <v>26</v>
      </c>
      <c r="I1" s="181" t="s">
        <v>12</v>
      </c>
      <c r="J1" s="181" t="s">
        <v>14</v>
      </c>
      <c r="K1" s="183" t="s">
        <v>4</v>
      </c>
      <c r="L1" s="183" t="s">
        <v>3</v>
      </c>
      <c r="M1" s="183" t="s">
        <v>13</v>
      </c>
      <c r="N1" s="183" t="s">
        <v>15</v>
      </c>
      <c r="O1" s="183" t="s">
        <v>5</v>
      </c>
      <c r="P1" s="183" t="s">
        <v>16</v>
      </c>
      <c r="Q1" s="183" t="s">
        <v>8</v>
      </c>
      <c r="R1" s="183" t="s">
        <v>6</v>
      </c>
      <c r="S1" s="183" t="s">
        <v>9</v>
      </c>
      <c r="T1" s="183" t="s">
        <v>7</v>
      </c>
      <c r="U1" s="183" t="s">
        <v>149</v>
      </c>
      <c r="V1" s="177" t="s">
        <v>150</v>
      </c>
    </row>
    <row r="2" spans="1:22" ht="15.75" x14ac:dyDescent="0.25">
      <c r="A2" s="107">
        <v>44531</v>
      </c>
      <c r="B2" s="108">
        <v>1020</v>
      </c>
      <c r="C2" s="109">
        <v>500</v>
      </c>
      <c r="D2" s="109">
        <v>336</v>
      </c>
      <c r="E2" s="109">
        <v>1856</v>
      </c>
      <c r="F2" s="109"/>
      <c r="G2" s="109">
        <v>30</v>
      </c>
      <c r="H2" s="109">
        <v>35</v>
      </c>
      <c r="I2" s="109">
        <v>35</v>
      </c>
      <c r="J2" s="109">
        <v>25</v>
      </c>
      <c r="K2" s="110">
        <v>90000</v>
      </c>
      <c r="L2" s="110">
        <v>140000</v>
      </c>
      <c r="M2" s="110">
        <v>42000</v>
      </c>
      <c r="N2" s="110">
        <v>4125</v>
      </c>
      <c r="O2" s="110"/>
      <c r="P2" s="110"/>
      <c r="Q2" s="110"/>
      <c r="R2" s="110">
        <v>276125</v>
      </c>
      <c r="S2" s="110">
        <v>-276125</v>
      </c>
      <c r="T2" s="110"/>
      <c r="U2" s="110" t="s">
        <v>137</v>
      </c>
      <c r="V2" s="178">
        <v>2021</v>
      </c>
    </row>
    <row r="3" spans="1:22" ht="15.75" x14ac:dyDescent="0.25">
      <c r="A3" s="107">
        <v>44562</v>
      </c>
      <c r="E3" s="109"/>
      <c r="F3" s="109">
        <v>1274</v>
      </c>
      <c r="G3" s="109"/>
      <c r="H3" s="109"/>
      <c r="I3" s="109"/>
      <c r="J3" s="109"/>
      <c r="K3" s="110"/>
      <c r="L3" s="110"/>
      <c r="M3" s="110"/>
      <c r="N3" s="110"/>
      <c r="O3" s="110"/>
      <c r="P3" s="110">
        <v>63700</v>
      </c>
      <c r="Q3" s="110">
        <v>340250</v>
      </c>
      <c r="R3" s="110">
        <v>63700</v>
      </c>
      <c r="S3" s="110">
        <v>276550</v>
      </c>
      <c r="T3" s="110"/>
      <c r="U3" s="110" t="s">
        <v>138</v>
      </c>
      <c r="V3" s="111">
        <v>2022</v>
      </c>
    </row>
    <row r="4" spans="1:22" ht="15.75" x14ac:dyDescent="0.25">
      <c r="A4" s="107">
        <v>44593</v>
      </c>
      <c r="B4" s="108">
        <v>900</v>
      </c>
      <c r="C4" s="108">
        <v>1250</v>
      </c>
      <c r="D4" s="108">
        <v>210</v>
      </c>
      <c r="E4" s="109">
        <v>2360</v>
      </c>
      <c r="F4" s="109">
        <v>1283</v>
      </c>
      <c r="G4" s="109">
        <v>48</v>
      </c>
      <c r="H4" s="109">
        <v>45</v>
      </c>
      <c r="I4" s="109">
        <v>45</v>
      </c>
      <c r="J4" s="109">
        <v>24</v>
      </c>
      <c r="K4" s="110">
        <v>147500</v>
      </c>
      <c r="L4" s="110">
        <v>189000</v>
      </c>
      <c r="M4" s="110">
        <v>67500</v>
      </c>
      <c r="N4" s="110">
        <v>4000</v>
      </c>
      <c r="O4" s="110"/>
      <c r="P4" s="110">
        <v>64150</v>
      </c>
      <c r="Q4" s="110">
        <v>347950</v>
      </c>
      <c r="R4" s="110">
        <v>472150</v>
      </c>
      <c r="S4" s="110">
        <v>-124200</v>
      </c>
      <c r="T4" s="110">
        <v>1390</v>
      </c>
      <c r="U4" s="110" t="s">
        <v>139</v>
      </c>
      <c r="V4" s="111">
        <v>2022</v>
      </c>
    </row>
    <row r="5" spans="1:22" ht="15.75" x14ac:dyDescent="0.25">
      <c r="A5" s="107">
        <v>44621</v>
      </c>
      <c r="B5" s="108">
        <v>440</v>
      </c>
      <c r="C5" s="108">
        <v>96</v>
      </c>
      <c r="D5" s="108">
        <v>252</v>
      </c>
      <c r="E5" s="109">
        <v>788</v>
      </c>
      <c r="F5" s="109">
        <v>802</v>
      </c>
      <c r="G5" s="109">
        <v>20</v>
      </c>
      <c r="H5" s="109">
        <v>29</v>
      </c>
      <c r="I5" s="109">
        <v>16</v>
      </c>
      <c r="J5" s="109">
        <v>24</v>
      </c>
      <c r="K5" s="110">
        <v>70000</v>
      </c>
      <c r="L5" s="110">
        <v>119400</v>
      </c>
      <c r="M5" s="110">
        <v>22400</v>
      </c>
      <c r="N5" s="110">
        <v>4000</v>
      </c>
      <c r="O5" s="110"/>
      <c r="P5" s="110">
        <v>40100</v>
      </c>
      <c r="Q5" s="110">
        <v>257600</v>
      </c>
      <c r="R5" s="110">
        <v>255900</v>
      </c>
      <c r="S5" s="110">
        <v>1700</v>
      </c>
      <c r="T5" s="110"/>
      <c r="U5" s="110" t="s">
        <v>140</v>
      </c>
      <c r="V5" s="111">
        <v>2022</v>
      </c>
    </row>
    <row r="6" spans="1:22" ht="15.75" x14ac:dyDescent="0.25">
      <c r="A6" s="107">
        <v>44652</v>
      </c>
      <c r="B6" s="108"/>
      <c r="C6" s="108">
        <v>700</v>
      </c>
      <c r="D6" s="108">
        <v>798</v>
      </c>
      <c r="E6" s="109">
        <v>1498</v>
      </c>
      <c r="F6" s="109">
        <v>1560</v>
      </c>
      <c r="G6" s="109">
        <v>30</v>
      </c>
      <c r="H6" s="109">
        <v>22</v>
      </c>
      <c r="I6" s="109">
        <v>33</v>
      </c>
      <c r="J6" s="109">
        <v>27</v>
      </c>
      <c r="K6" s="110">
        <v>120000</v>
      </c>
      <c r="L6" s="110">
        <v>90000</v>
      </c>
      <c r="M6" s="110">
        <v>48000</v>
      </c>
      <c r="N6" s="110">
        <v>4400</v>
      </c>
      <c r="O6" s="110"/>
      <c r="P6" s="110">
        <v>78000</v>
      </c>
      <c r="Q6" s="110">
        <v>521800</v>
      </c>
      <c r="R6" s="110">
        <v>340400</v>
      </c>
      <c r="S6" s="110">
        <v>181400</v>
      </c>
      <c r="T6" s="110"/>
      <c r="U6" s="110" t="s">
        <v>141</v>
      </c>
      <c r="V6" s="111">
        <v>2022</v>
      </c>
    </row>
    <row r="7" spans="1:22" ht="15.75" x14ac:dyDescent="0.25">
      <c r="A7" s="107">
        <v>44682</v>
      </c>
      <c r="B7" s="108"/>
      <c r="C7" s="108">
        <v>546</v>
      </c>
      <c r="D7" s="108"/>
      <c r="E7" s="109">
        <v>546</v>
      </c>
      <c r="F7" s="109">
        <v>376</v>
      </c>
      <c r="G7" s="109">
        <v>10</v>
      </c>
      <c r="H7" s="109">
        <v>10</v>
      </c>
      <c r="I7" s="109">
        <v>11</v>
      </c>
      <c r="J7" s="109">
        <v>12</v>
      </c>
      <c r="K7" s="110">
        <v>40000</v>
      </c>
      <c r="L7" s="110">
        <v>40000</v>
      </c>
      <c r="M7" s="110">
        <v>15000</v>
      </c>
      <c r="N7" s="110">
        <v>2000</v>
      </c>
      <c r="O7" s="110"/>
      <c r="P7" s="110">
        <v>18800</v>
      </c>
      <c r="Q7" s="110">
        <v>114700</v>
      </c>
      <c r="R7" s="110">
        <v>115800</v>
      </c>
      <c r="S7" s="110">
        <v>-1100</v>
      </c>
      <c r="T7" s="110">
        <v>4300</v>
      </c>
      <c r="U7" s="110" t="s">
        <v>127</v>
      </c>
      <c r="V7" s="111">
        <v>2022</v>
      </c>
    </row>
    <row r="8" spans="1:22" ht="15.75" x14ac:dyDescent="0.25">
      <c r="A8" s="107">
        <v>44713</v>
      </c>
      <c r="B8" s="108"/>
      <c r="C8" s="108"/>
      <c r="D8" s="108">
        <v>645</v>
      </c>
      <c r="E8" s="109">
        <v>645</v>
      </c>
      <c r="F8" s="109">
        <v>706</v>
      </c>
      <c r="G8" s="109">
        <v>30</v>
      </c>
      <c r="H8" s="109">
        <v>20</v>
      </c>
      <c r="I8" s="109">
        <v>15</v>
      </c>
      <c r="J8" s="109">
        <v>12</v>
      </c>
      <c r="K8" s="110">
        <v>120000</v>
      </c>
      <c r="L8" s="110">
        <v>82000</v>
      </c>
      <c r="M8" s="110">
        <v>22500</v>
      </c>
      <c r="N8" s="110">
        <v>2000</v>
      </c>
      <c r="O8" s="110"/>
      <c r="P8" s="110">
        <v>35300</v>
      </c>
      <c r="Q8" s="110">
        <v>222800</v>
      </c>
      <c r="R8" s="110">
        <v>261800</v>
      </c>
      <c r="S8" s="110">
        <v>-39000</v>
      </c>
      <c r="T8" s="110"/>
      <c r="U8" s="110" t="s">
        <v>142</v>
      </c>
      <c r="V8" s="111">
        <v>2022</v>
      </c>
    </row>
    <row r="9" spans="1:22" ht="15.75" x14ac:dyDescent="0.25">
      <c r="A9" s="107">
        <v>44743</v>
      </c>
      <c r="B9" s="108">
        <v>780</v>
      </c>
      <c r="C9" s="108"/>
      <c r="D9" s="108"/>
      <c r="E9" s="109">
        <v>780</v>
      </c>
      <c r="F9" s="109">
        <v>600</v>
      </c>
      <c r="G9" s="109">
        <v>10</v>
      </c>
      <c r="H9" s="109">
        <v>12</v>
      </c>
      <c r="I9" s="109">
        <v>13</v>
      </c>
      <c r="J9" s="109">
        <v>12</v>
      </c>
      <c r="K9" s="110">
        <v>50000</v>
      </c>
      <c r="L9" s="110">
        <v>45700</v>
      </c>
      <c r="M9" s="110">
        <v>15000</v>
      </c>
      <c r="N9" s="110">
        <v>2000</v>
      </c>
      <c r="O9" s="110"/>
      <c r="P9" s="110">
        <v>30000</v>
      </c>
      <c r="Q9" s="110">
        <v>190000</v>
      </c>
      <c r="R9" s="110">
        <v>142700</v>
      </c>
      <c r="S9" s="110">
        <v>47300</v>
      </c>
      <c r="T9" s="110">
        <v>5000</v>
      </c>
      <c r="U9" s="110" t="s">
        <v>143</v>
      </c>
      <c r="V9" s="111">
        <v>2022</v>
      </c>
    </row>
    <row r="10" spans="1:22" ht="15.75" x14ac:dyDescent="0.25">
      <c r="A10" s="107">
        <v>44774</v>
      </c>
      <c r="B10" s="108">
        <v>569</v>
      </c>
      <c r="C10" s="108"/>
      <c r="D10" s="108">
        <v>3226</v>
      </c>
      <c r="E10" s="109">
        <v>3795</v>
      </c>
      <c r="F10" s="109">
        <v>4600</v>
      </c>
      <c r="G10" s="109">
        <v>100</v>
      </c>
      <c r="H10" s="109">
        <v>86</v>
      </c>
      <c r="I10" s="109">
        <v>86</v>
      </c>
      <c r="J10" s="109">
        <v>61</v>
      </c>
      <c r="K10" s="110">
        <v>500000</v>
      </c>
      <c r="L10" s="110">
        <v>348300</v>
      </c>
      <c r="M10" s="110">
        <v>129000</v>
      </c>
      <c r="N10" s="110">
        <v>10000</v>
      </c>
      <c r="O10" s="110">
        <v>77900</v>
      </c>
      <c r="P10" s="110">
        <v>230000</v>
      </c>
      <c r="Q10" s="110">
        <v>1594000</v>
      </c>
      <c r="R10" s="110">
        <v>1295200</v>
      </c>
      <c r="S10" s="110">
        <v>298800</v>
      </c>
      <c r="T10" s="110"/>
      <c r="U10" s="110" t="s">
        <v>144</v>
      </c>
      <c r="V10" s="111">
        <v>2022</v>
      </c>
    </row>
    <row r="11" spans="1:22" ht="15.75" x14ac:dyDescent="0.25">
      <c r="A11" s="107">
        <v>44805</v>
      </c>
      <c r="B11" s="108">
        <v>1320</v>
      </c>
      <c r="C11" s="108">
        <v>450</v>
      </c>
      <c r="D11" s="108">
        <v>516</v>
      </c>
      <c r="E11" s="109">
        <v>2286</v>
      </c>
      <c r="F11" s="109">
        <v>954</v>
      </c>
      <c r="G11" s="109">
        <v>20</v>
      </c>
      <c r="H11" s="111">
        <v>53</v>
      </c>
      <c r="I11" s="109">
        <v>48</v>
      </c>
      <c r="J11" s="109">
        <v>48</v>
      </c>
      <c r="K11" s="110">
        <v>100000</v>
      </c>
      <c r="L11" s="110">
        <v>214650</v>
      </c>
      <c r="M11" s="110">
        <v>72000</v>
      </c>
      <c r="N11" s="110">
        <v>8000</v>
      </c>
      <c r="O11" s="110">
        <v>2000</v>
      </c>
      <c r="P11" s="110">
        <v>47700</v>
      </c>
      <c r="Q11" s="110">
        <v>297980</v>
      </c>
      <c r="R11" s="110">
        <v>444350</v>
      </c>
      <c r="S11" s="110">
        <v>-146370</v>
      </c>
      <c r="T11" s="110">
        <v>18200</v>
      </c>
      <c r="U11" s="110" t="s">
        <v>145</v>
      </c>
      <c r="V11" s="111">
        <v>2022</v>
      </c>
    </row>
    <row r="12" spans="1:22" ht="15.75" x14ac:dyDescent="0.25">
      <c r="A12" s="107">
        <v>44835</v>
      </c>
      <c r="B12" s="108">
        <v>1740</v>
      </c>
      <c r="C12" s="108">
        <v>400</v>
      </c>
      <c r="D12" s="108">
        <v>1634</v>
      </c>
      <c r="E12" s="109">
        <v>3774</v>
      </c>
      <c r="F12" s="109">
        <v>3460</v>
      </c>
      <c r="G12" s="109">
        <v>90</v>
      </c>
      <c r="H12" s="109">
        <v>70</v>
      </c>
      <c r="I12" s="109">
        <v>75</v>
      </c>
      <c r="J12" s="109">
        <v>48</v>
      </c>
      <c r="K12" s="110">
        <v>435000</v>
      </c>
      <c r="L12" s="110">
        <v>283500</v>
      </c>
      <c r="M12" s="110">
        <v>112500</v>
      </c>
      <c r="N12" s="110">
        <v>8000</v>
      </c>
      <c r="O12" s="110">
        <v>5500</v>
      </c>
      <c r="P12" s="110">
        <v>173000</v>
      </c>
      <c r="Q12" s="110">
        <v>1176300</v>
      </c>
      <c r="R12" s="110">
        <v>1017500</v>
      </c>
      <c r="S12" s="110">
        <v>158800</v>
      </c>
      <c r="T12" s="110">
        <v>48000</v>
      </c>
      <c r="U12" s="110" t="s">
        <v>146</v>
      </c>
      <c r="V12" s="111">
        <v>2022</v>
      </c>
    </row>
    <row r="13" spans="1:22" ht="15.75" x14ac:dyDescent="0.25">
      <c r="A13" s="107">
        <v>44866</v>
      </c>
      <c r="B13" s="108"/>
      <c r="C13" s="108"/>
      <c r="D13" s="108">
        <v>430</v>
      </c>
      <c r="E13" s="109">
        <v>430</v>
      </c>
      <c r="F13" s="109">
        <v>1150</v>
      </c>
      <c r="G13" s="109">
        <v>10</v>
      </c>
      <c r="H13" s="109">
        <v>10</v>
      </c>
      <c r="I13" s="109">
        <v>10</v>
      </c>
      <c r="J13" s="109">
        <v>24</v>
      </c>
      <c r="K13" s="110">
        <v>50000</v>
      </c>
      <c r="L13" s="110">
        <v>40500</v>
      </c>
      <c r="M13" s="110">
        <v>15000</v>
      </c>
      <c r="N13" s="110">
        <v>4000</v>
      </c>
      <c r="O13" s="110">
        <v>5000</v>
      </c>
      <c r="P13" s="110">
        <v>57500</v>
      </c>
      <c r="Q13" s="110">
        <v>425000</v>
      </c>
      <c r="R13" s="110">
        <v>172000</v>
      </c>
      <c r="S13" s="110">
        <v>253000</v>
      </c>
      <c r="T13" s="110"/>
      <c r="U13" s="110" t="s">
        <v>147</v>
      </c>
      <c r="V13" s="111">
        <v>2022</v>
      </c>
    </row>
    <row r="14" spans="1:22" ht="15.75" x14ac:dyDescent="0.25">
      <c r="A14" s="107">
        <v>44896</v>
      </c>
      <c r="B14" s="108">
        <v>840</v>
      </c>
      <c r="C14" s="108"/>
      <c r="D14" s="108">
        <v>817</v>
      </c>
      <c r="E14" s="109">
        <v>1657</v>
      </c>
      <c r="F14" s="109">
        <v>1534</v>
      </c>
      <c r="G14" s="109">
        <v>60</v>
      </c>
      <c r="H14" s="109">
        <v>33</v>
      </c>
      <c r="I14" s="111">
        <v>33</v>
      </c>
      <c r="J14" s="109">
        <v>30</v>
      </c>
      <c r="K14" s="110">
        <v>225000</v>
      </c>
      <c r="L14" s="110">
        <v>155100</v>
      </c>
      <c r="M14" s="110">
        <v>49500</v>
      </c>
      <c r="N14" s="110">
        <v>5000</v>
      </c>
      <c r="O14" s="110"/>
      <c r="P14" s="110">
        <v>76700</v>
      </c>
      <c r="Q14" s="110">
        <v>580000</v>
      </c>
      <c r="R14" s="110">
        <v>511300</v>
      </c>
      <c r="S14" s="110">
        <v>68700</v>
      </c>
      <c r="T14" s="110">
        <v>230</v>
      </c>
      <c r="U14" s="110" t="s">
        <v>137</v>
      </c>
      <c r="V14" s="111">
        <v>2022</v>
      </c>
    </row>
    <row r="15" spans="1:22" ht="15.75" x14ac:dyDescent="0.25">
      <c r="A15" s="107">
        <v>44927</v>
      </c>
      <c r="B15" s="108">
        <v>480</v>
      </c>
      <c r="C15" s="108"/>
      <c r="D15" s="108">
        <v>344</v>
      </c>
      <c r="E15" s="109">
        <v>824</v>
      </c>
      <c r="F15" s="109">
        <v>950</v>
      </c>
      <c r="G15" s="109">
        <v>18</v>
      </c>
      <c r="H15" s="109">
        <v>18</v>
      </c>
      <c r="I15" s="109">
        <v>16</v>
      </c>
      <c r="J15" s="109">
        <v>20</v>
      </c>
      <c r="K15" s="110">
        <v>87500</v>
      </c>
      <c r="L15" s="110">
        <v>86400</v>
      </c>
      <c r="M15" s="110">
        <v>24000</v>
      </c>
      <c r="N15" s="110">
        <v>4000</v>
      </c>
      <c r="O15" s="110"/>
      <c r="P15" s="110">
        <v>57000</v>
      </c>
      <c r="Q15" s="110">
        <v>351320</v>
      </c>
      <c r="R15" s="110">
        <v>258900</v>
      </c>
      <c r="S15" s="110">
        <v>92420</v>
      </c>
      <c r="T15" s="110"/>
      <c r="U15" s="110" t="s">
        <v>138</v>
      </c>
      <c r="V15" s="111">
        <v>2023</v>
      </c>
    </row>
    <row r="16" spans="1:22" ht="15.75" x14ac:dyDescent="0.25">
      <c r="A16" s="107">
        <v>44958</v>
      </c>
      <c r="B16" s="108"/>
      <c r="C16" s="108"/>
      <c r="D16" s="108"/>
      <c r="E16" s="109"/>
      <c r="F16" s="109"/>
      <c r="G16" s="109"/>
      <c r="H16" s="109"/>
      <c r="I16" s="109"/>
      <c r="J16" s="109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1">
        <v>2023</v>
      </c>
    </row>
    <row r="17" spans="1:22" ht="15.75" x14ac:dyDescent="0.25">
      <c r="A17" s="107">
        <v>44986</v>
      </c>
      <c r="B17" s="108">
        <v>420</v>
      </c>
      <c r="C17" s="108"/>
      <c r="D17" s="108">
        <v>1591</v>
      </c>
      <c r="E17" s="109">
        <v>2011</v>
      </c>
      <c r="F17" s="109">
        <v>1616</v>
      </c>
      <c r="G17" s="109">
        <v>38</v>
      </c>
      <c r="H17" s="109">
        <v>44</v>
      </c>
      <c r="I17" s="109">
        <v>44</v>
      </c>
      <c r="J17" s="109">
        <v>39</v>
      </c>
      <c r="K17" s="110">
        <v>187500</v>
      </c>
      <c r="L17" s="110">
        <v>209000</v>
      </c>
      <c r="M17" s="110">
        <v>66000</v>
      </c>
      <c r="N17" s="110">
        <v>7500</v>
      </c>
      <c r="O17" s="110">
        <v>2000</v>
      </c>
      <c r="P17" s="110">
        <v>96960</v>
      </c>
      <c r="Q17" s="110">
        <v>644100</v>
      </c>
      <c r="R17" s="110">
        <v>568960</v>
      </c>
      <c r="S17" s="110">
        <v>75140</v>
      </c>
      <c r="T17" s="110">
        <v>100</v>
      </c>
      <c r="U17" s="110" t="s">
        <v>140</v>
      </c>
      <c r="V17" s="111">
        <v>2023</v>
      </c>
    </row>
    <row r="18" spans="1:22" ht="15.75" x14ac:dyDescent="0.25">
      <c r="A18" s="107">
        <v>45017</v>
      </c>
      <c r="B18" s="108">
        <v>900</v>
      </c>
      <c r="C18" s="108">
        <v>2500</v>
      </c>
      <c r="D18" s="108">
        <v>215</v>
      </c>
      <c r="E18" s="109">
        <v>3615</v>
      </c>
      <c r="F18" s="109">
        <v>3381</v>
      </c>
      <c r="G18" s="109">
        <v>72</v>
      </c>
      <c r="H18" s="109">
        <v>70</v>
      </c>
      <c r="I18" s="109">
        <v>70</v>
      </c>
      <c r="J18" s="109">
        <v>56</v>
      </c>
      <c r="K18" s="110">
        <v>362500</v>
      </c>
      <c r="L18" s="110">
        <v>328900</v>
      </c>
      <c r="M18" s="110">
        <v>120000</v>
      </c>
      <c r="N18" s="110">
        <v>11030</v>
      </c>
      <c r="O18" s="110">
        <v>2000</v>
      </c>
      <c r="P18" s="110">
        <v>52860</v>
      </c>
      <c r="Q18" s="110">
        <v>1015940</v>
      </c>
      <c r="R18" s="110">
        <v>877290</v>
      </c>
      <c r="S18" s="110">
        <v>138650</v>
      </c>
      <c r="T18" s="110">
        <v>50000</v>
      </c>
      <c r="U18" s="110" t="s">
        <v>141</v>
      </c>
      <c r="V18" s="111">
        <v>2023</v>
      </c>
    </row>
    <row r="19" spans="1:22" ht="15.75" x14ac:dyDescent="0.25">
      <c r="A19" s="107">
        <v>45047</v>
      </c>
      <c r="B19" s="108">
        <v>303</v>
      </c>
      <c r="C19" s="108">
        <v>201</v>
      </c>
      <c r="D19" s="108"/>
      <c r="E19" s="109">
        <v>504</v>
      </c>
      <c r="F19" s="109">
        <v>1642</v>
      </c>
      <c r="G19" s="109">
        <v>8</v>
      </c>
      <c r="H19" s="109">
        <v>7</v>
      </c>
      <c r="I19" s="109">
        <v>6</v>
      </c>
      <c r="J19" s="109">
        <v>8</v>
      </c>
      <c r="K19" s="110">
        <v>37500</v>
      </c>
      <c r="L19" s="110">
        <v>32900</v>
      </c>
      <c r="M19" s="110">
        <v>9000</v>
      </c>
      <c r="N19" s="110">
        <v>1500</v>
      </c>
      <c r="O19" s="110"/>
      <c r="P19" s="110">
        <v>98520</v>
      </c>
      <c r="Q19" s="110">
        <v>584200</v>
      </c>
      <c r="R19" s="110">
        <v>179420</v>
      </c>
      <c r="S19" s="110">
        <v>404780</v>
      </c>
      <c r="T19" s="110"/>
      <c r="U19" s="110" t="s">
        <v>127</v>
      </c>
      <c r="V19" s="111">
        <v>2023</v>
      </c>
    </row>
    <row r="20" spans="1:22" ht="15.75" x14ac:dyDescent="0.25">
      <c r="A20" s="107">
        <v>45078</v>
      </c>
      <c r="B20" s="108"/>
      <c r="C20" s="108"/>
      <c r="D20" s="108">
        <v>760</v>
      </c>
      <c r="E20" s="109">
        <v>760</v>
      </c>
      <c r="F20" s="109">
        <v>870</v>
      </c>
      <c r="G20" s="109">
        <v>42</v>
      </c>
      <c r="H20" s="109">
        <v>20</v>
      </c>
      <c r="I20" s="109">
        <v>20</v>
      </c>
      <c r="J20" s="109">
        <v>8</v>
      </c>
      <c r="K20" s="110">
        <v>212500</v>
      </c>
      <c r="L20" s="110">
        <v>145500</v>
      </c>
      <c r="M20" s="110">
        <v>30000</v>
      </c>
      <c r="N20" s="110">
        <v>2000</v>
      </c>
      <c r="O20" s="110"/>
      <c r="P20" s="110">
        <v>52200</v>
      </c>
      <c r="Q20" s="110">
        <v>343200</v>
      </c>
      <c r="R20" s="110">
        <v>442200</v>
      </c>
      <c r="S20" s="110">
        <v>-99000</v>
      </c>
      <c r="T20" s="110"/>
      <c r="U20" s="110" t="s">
        <v>142</v>
      </c>
      <c r="V20" s="111">
        <v>2023</v>
      </c>
    </row>
    <row r="21" spans="1:22" ht="15.75" x14ac:dyDescent="0.25">
      <c r="A21" s="107">
        <v>45108</v>
      </c>
      <c r="B21" s="108"/>
      <c r="C21" s="108"/>
      <c r="D21" s="108">
        <v>903</v>
      </c>
      <c r="E21" s="109">
        <v>903</v>
      </c>
      <c r="F21" s="109">
        <v>470</v>
      </c>
      <c r="G21" s="109">
        <v>28</v>
      </c>
      <c r="H21" s="109">
        <v>27</v>
      </c>
      <c r="I21" s="109">
        <v>21</v>
      </c>
      <c r="J21" s="109">
        <v>14</v>
      </c>
      <c r="K21" s="110">
        <v>137500</v>
      </c>
      <c r="L21" s="110">
        <v>135300</v>
      </c>
      <c r="M21" s="110">
        <v>32000</v>
      </c>
      <c r="N21" s="110">
        <v>7470</v>
      </c>
      <c r="O21" s="110">
        <v>20200</v>
      </c>
      <c r="P21" s="110">
        <v>28200</v>
      </c>
      <c r="Q21" s="110">
        <v>181500</v>
      </c>
      <c r="R21" s="110">
        <v>360670</v>
      </c>
      <c r="S21" s="110">
        <v>-179170</v>
      </c>
      <c r="T21" s="110"/>
      <c r="U21" s="110" t="s">
        <v>143</v>
      </c>
      <c r="V21" s="111">
        <v>2023</v>
      </c>
    </row>
    <row r="22" spans="1:22" ht="15.75" x14ac:dyDescent="0.25">
      <c r="A22" s="107">
        <v>45139</v>
      </c>
      <c r="B22" s="108">
        <v>480</v>
      </c>
      <c r="C22" s="108"/>
      <c r="D22" s="108">
        <v>560</v>
      </c>
      <c r="E22" s="109">
        <v>1040</v>
      </c>
      <c r="F22" s="109">
        <v>440</v>
      </c>
      <c r="G22" s="109">
        <v>25</v>
      </c>
      <c r="H22" s="109">
        <v>16</v>
      </c>
      <c r="I22" s="109">
        <v>21</v>
      </c>
      <c r="J22" s="109">
        <v>6</v>
      </c>
      <c r="K22" s="110">
        <v>125000</v>
      </c>
      <c r="L22" s="110">
        <v>87200</v>
      </c>
      <c r="M22" s="110">
        <v>33500</v>
      </c>
      <c r="N22" s="110">
        <v>3480</v>
      </c>
      <c r="O22" s="110"/>
      <c r="P22" s="110">
        <v>26400</v>
      </c>
      <c r="Q22" s="110">
        <v>182200</v>
      </c>
      <c r="R22" s="110">
        <v>275580</v>
      </c>
      <c r="S22" s="110">
        <v>-93380</v>
      </c>
      <c r="T22" s="110">
        <v>1000</v>
      </c>
      <c r="U22" s="110" t="s">
        <v>144</v>
      </c>
      <c r="V22" s="111">
        <v>2023</v>
      </c>
    </row>
    <row r="23" spans="1:22" ht="15.75" x14ac:dyDescent="0.25">
      <c r="A23" s="107">
        <v>45170</v>
      </c>
      <c r="B23" s="108">
        <v>660</v>
      </c>
      <c r="C23" s="108"/>
      <c r="D23" s="108">
        <v>1419</v>
      </c>
      <c r="E23" s="109">
        <v>2079</v>
      </c>
      <c r="F23" s="109">
        <v>1928</v>
      </c>
      <c r="G23" s="109">
        <v>48</v>
      </c>
      <c r="H23" s="109">
        <v>43</v>
      </c>
      <c r="I23" s="109">
        <v>44</v>
      </c>
      <c r="J23" s="109">
        <v>22</v>
      </c>
      <c r="K23" s="110">
        <v>237500</v>
      </c>
      <c r="L23" s="110">
        <v>230050</v>
      </c>
      <c r="M23" s="110">
        <v>74800</v>
      </c>
      <c r="N23" s="110">
        <v>12800</v>
      </c>
      <c r="O23" s="110">
        <v>20000</v>
      </c>
      <c r="P23" s="110">
        <v>115680</v>
      </c>
      <c r="Q23" s="110">
        <v>841200</v>
      </c>
      <c r="R23" s="110">
        <v>690830</v>
      </c>
      <c r="S23" s="110">
        <v>150370</v>
      </c>
      <c r="T23" s="110"/>
      <c r="U23" s="110" t="s">
        <v>145</v>
      </c>
      <c r="V23" s="111">
        <v>2023</v>
      </c>
    </row>
    <row r="24" spans="1:22" ht="15.75" x14ac:dyDescent="0.25">
      <c r="A24" s="107">
        <v>45200</v>
      </c>
      <c r="B24" s="108">
        <v>1920</v>
      </c>
      <c r="C24" s="108"/>
      <c r="D24" s="108">
        <v>860</v>
      </c>
      <c r="E24" s="109">
        <v>2780</v>
      </c>
      <c r="F24" s="109">
        <v>2838</v>
      </c>
      <c r="G24" s="109">
        <v>65</v>
      </c>
      <c r="H24" s="109">
        <v>53</v>
      </c>
      <c r="I24" s="109">
        <v>52</v>
      </c>
      <c r="J24" s="109">
        <v>26</v>
      </c>
      <c r="K24" s="110">
        <v>360000</v>
      </c>
      <c r="L24" s="110">
        <v>283550</v>
      </c>
      <c r="M24" s="110">
        <v>138600</v>
      </c>
      <c r="N24" s="110">
        <v>15600</v>
      </c>
      <c r="O24" s="110">
        <v>3000</v>
      </c>
      <c r="P24" s="110">
        <v>170280</v>
      </c>
      <c r="Q24" s="110">
        <v>1255440</v>
      </c>
      <c r="R24" s="110">
        <v>971030</v>
      </c>
      <c r="S24" s="110">
        <v>284410</v>
      </c>
      <c r="T24" s="110">
        <v>2150</v>
      </c>
      <c r="U24" s="110" t="s">
        <v>146</v>
      </c>
      <c r="V24" s="111">
        <v>2023</v>
      </c>
    </row>
    <row r="25" spans="1:22" ht="15.75" x14ac:dyDescent="0.25">
      <c r="A25" s="107">
        <v>45231</v>
      </c>
      <c r="B25" s="108">
        <v>1140</v>
      </c>
      <c r="C25" s="108"/>
      <c r="D25" s="108"/>
      <c r="E25" s="109">
        <v>1140</v>
      </c>
      <c r="F25" s="109">
        <v>982</v>
      </c>
      <c r="G25" s="109">
        <v>18</v>
      </c>
      <c r="H25" s="109">
        <v>18</v>
      </c>
      <c r="I25" s="109">
        <v>19</v>
      </c>
      <c r="J25" s="109">
        <v>8</v>
      </c>
      <c r="K25" s="110">
        <v>100000</v>
      </c>
      <c r="L25" s="110">
        <v>98100</v>
      </c>
      <c r="M25" s="110">
        <v>32300</v>
      </c>
      <c r="N25" s="110">
        <v>4800</v>
      </c>
      <c r="O25" s="110">
        <v>1500</v>
      </c>
      <c r="P25" s="110">
        <v>58920</v>
      </c>
      <c r="Q25" s="110">
        <v>446900</v>
      </c>
      <c r="R25" s="110">
        <v>295620</v>
      </c>
      <c r="S25" s="110">
        <v>151280</v>
      </c>
      <c r="T25" s="110"/>
      <c r="U25" s="110" t="s">
        <v>147</v>
      </c>
      <c r="V25" s="111">
        <v>2023</v>
      </c>
    </row>
    <row r="26" spans="1:22" ht="15.75" x14ac:dyDescent="0.25">
      <c r="A26" s="107">
        <v>45261</v>
      </c>
      <c r="B26" s="108">
        <v>840</v>
      </c>
      <c r="C26" s="108"/>
      <c r="D26" s="108">
        <v>817</v>
      </c>
      <c r="E26" s="109">
        <v>1657</v>
      </c>
      <c r="F26" s="109">
        <v>1505</v>
      </c>
      <c r="G26" s="109">
        <v>50</v>
      </c>
      <c r="H26" s="109">
        <v>33</v>
      </c>
      <c r="I26" s="109">
        <v>33</v>
      </c>
      <c r="J26" s="109">
        <v>26</v>
      </c>
      <c r="K26" s="110">
        <v>300000</v>
      </c>
      <c r="L26" s="110">
        <v>179850</v>
      </c>
      <c r="M26" s="110">
        <v>56100</v>
      </c>
      <c r="N26" s="110">
        <v>16000</v>
      </c>
      <c r="O26" s="110">
        <v>4000</v>
      </c>
      <c r="P26" s="110">
        <v>90300</v>
      </c>
      <c r="Q26" s="110">
        <v>710450</v>
      </c>
      <c r="R26" s="110">
        <v>646250</v>
      </c>
      <c r="S26" s="110">
        <v>64200</v>
      </c>
      <c r="T26" s="110"/>
      <c r="U26" s="110" t="s">
        <v>137</v>
      </c>
      <c r="V26" s="111">
        <v>2023</v>
      </c>
    </row>
    <row r="27" spans="1:22" ht="15.75" x14ac:dyDescent="0.25">
      <c r="A27" s="107">
        <v>45292</v>
      </c>
      <c r="B27" s="108"/>
      <c r="C27" s="108"/>
      <c r="D27" s="108"/>
      <c r="E27" s="109"/>
      <c r="F27" s="109">
        <v>720</v>
      </c>
      <c r="G27" s="109">
        <v>8</v>
      </c>
      <c r="H27" s="109"/>
      <c r="I27" s="109"/>
      <c r="J27" s="109"/>
      <c r="K27" s="110">
        <v>45000</v>
      </c>
      <c r="L27" s="110"/>
      <c r="M27" s="110"/>
      <c r="N27" s="110"/>
      <c r="O27" s="110">
        <v>10000</v>
      </c>
      <c r="P27" s="110">
        <v>50400</v>
      </c>
      <c r="Q27" s="110">
        <v>294000</v>
      </c>
      <c r="R27" s="110">
        <v>105400</v>
      </c>
      <c r="S27" s="110">
        <v>188600</v>
      </c>
      <c r="T27" s="110"/>
      <c r="U27" s="110" t="s">
        <v>138</v>
      </c>
      <c r="V27" s="111">
        <v>2024</v>
      </c>
    </row>
    <row r="28" spans="1:22" ht="15.75" x14ac:dyDescent="0.25">
      <c r="A28" s="107">
        <v>45323</v>
      </c>
      <c r="B28" s="108">
        <v>1560</v>
      </c>
      <c r="C28" s="108">
        <v>20</v>
      </c>
      <c r="D28" s="108">
        <v>430</v>
      </c>
      <c r="E28" s="109">
        <v>2010</v>
      </c>
      <c r="F28" s="109">
        <v>2020</v>
      </c>
      <c r="G28" s="109">
        <v>45</v>
      </c>
      <c r="H28" s="109">
        <v>40</v>
      </c>
      <c r="I28" s="109">
        <v>40</v>
      </c>
      <c r="J28" s="109">
        <v>16</v>
      </c>
      <c r="K28" s="110">
        <v>270000</v>
      </c>
      <c r="L28" s="110">
        <v>435800</v>
      </c>
      <c r="M28" s="110">
        <v>78000</v>
      </c>
      <c r="N28" s="110">
        <v>10000</v>
      </c>
      <c r="O28" s="110"/>
      <c r="P28" s="110">
        <v>141400</v>
      </c>
      <c r="Q28" s="110">
        <v>1120000</v>
      </c>
      <c r="R28" s="110">
        <v>935200</v>
      </c>
      <c r="S28" s="110">
        <v>184800</v>
      </c>
      <c r="T28" s="110"/>
      <c r="U28" s="110" t="s">
        <v>139</v>
      </c>
      <c r="V28" s="111">
        <v>2024</v>
      </c>
    </row>
    <row r="29" spans="1:22" ht="15.75" x14ac:dyDescent="0.25">
      <c r="A29" s="107">
        <v>45352</v>
      </c>
      <c r="B29" s="108"/>
      <c r="C29" s="108"/>
      <c r="D29" s="108"/>
      <c r="E29" s="109"/>
      <c r="F29" s="109">
        <v>347</v>
      </c>
      <c r="G29" s="109">
        <v>10</v>
      </c>
      <c r="H29" s="109"/>
      <c r="I29" s="109"/>
      <c r="J29" s="109"/>
      <c r="K29" s="110">
        <v>85000</v>
      </c>
      <c r="L29" s="110"/>
      <c r="M29" s="110"/>
      <c r="N29" s="110"/>
      <c r="O29" s="110"/>
      <c r="P29" s="110">
        <v>24290</v>
      </c>
      <c r="Q29" s="110">
        <v>236350</v>
      </c>
      <c r="R29" s="110">
        <v>109290</v>
      </c>
      <c r="S29" s="110">
        <v>127060</v>
      </c>
      <c r="T29" s="110"/>
      <c r="U29" s="110" t="s">
        <v>140</v>
      </c>
      <c r="V29" s="111">
        <v>2024</v>
      </c>
    </row>
    <row r="30" spans="1:22" ht="15.75" x14ac:dyDescent="0.25">
      <c r="A30" s="107">
        <v>45383</v>
      </c>
      <c r="B30" s="108"/>
      <c r="C30" s="108"/>
      <c r="D30" s="108"/>
      <c r="E30" s="109"/>
      <c r="F30" s="109">
        <v>173</v>
      </c>
      <c r="G30" s="109"/>
      <c r="H30" s="109"/>
      <c r="I30" s="109"/>
      <c r="J30" s="109"/>
      <c r="K30" s="110"/>
      <c r="L30" s="110"/>
      <c r="M30" s="110"/>
      <c r="N30" s="110"/>
      <c r="O30" s="110"/>
      <c r="P30" s="110">
        <v>12110</v>
      </c>
      <c r="Q30" s="110">
        <v>129060</v>
      </c>
      <c r="R30" s="110">
        <v>12110</v>
      </c>
      <c r="S30" s="110">
        <v>116950</v>
      </c>
      <c r="T30" s="110"/>
      <c r="U30" s="110" t="s">
        <v>141</v>
      </c>
      <c r="V30" s="111">
        <v>2024</v>
      </c>
    </row>
    <row r="31" spans="1:22" ht="15.75" x14ac:dyDescent="0.25">
      <c r="A31" s="107">
        <v>45413</v>
      </c>
      <c r="B31" s="108"/>
      <c r="C31" s="108"/>
      <c r="D31" s="108"/>
      <c r="E31" s="109"/>
      <c r="G31" s="109"/>
      <c r="H31" s="109"/>
      <c r="I31" s="109"/>
      <c r="J31" s="109"/>
      <c r="K31" s="110"/>
      <c r="L31" s="110"/>
      <c r="M31" s="110"/>
      <c r="N31" s="110"/>
      <c r="O31" s="110"/>
      <c r="P31" s="110"/>
      <c r="R31" s="110"/>
      <c r="S31" s="110"/>
      <c r="T31" s="110"/>
      <c r="U31" s="110"/>
      <c r="V31" s="111">
        <v>2024</v>
      </c>
    </row>
    <row r="32" spans="1:22" ht="15.75" x14ac:dyDescent="0.25">
      <c r="A32" s="107">
        <v>45444</v>
      </c>
      <c r="B32" s="108"/>
      <c r="C32" s="108"/>
      <c r="D32" s="108"/>
      <c r="E32" s="109"/>
      <c r="F32" s="109">
        <v>16</v>
      </c>
      <c r="G32" s="109"/>
      <c r="H32" s="109"/>
      <c r="I32" s="109"/>
      <c r="J32" s="109"/>
      <c r="K32" s="110"/>
      <c r="L32" s="110"/>
      <c r="M32" s="110"/>
      <c r="N32" s="110"/>
      <c r="O32" s="110"/>
      <c r="P32" s="110">
        <v>1120</v>
      </c>
      <c r="Q32" s="110">
        <v>11200</v>
      </c>
      <c r="R32" s="110"/>
      <c r="S32" s="110">
        <v>11200</v>
      </c>
      <c r="T32" s="110"/>
      <c r="U32" s="110"/>
      <c r="V32" s="111">
        <v>2024</v>
      </c>
    </row>
    <row r="33" spans="1:22" ht="15.75" x14ac:dyDescent="0.25">
      <c r="A33" s="107">
        <v>45474</v>
      </c>
      <c r="B33" s="108"/>
      <c r="C33" s="108"/>
      <c r="D33" s="108"/>
      <c r="E33" s="109"/>
      <c r="G33" s="109"/>
      <c r="H33" s="109"/>
      <c r="I33" s="109"/>
      <c r="J33" s="109"/>
      <c r="K33" s="110"/>
      <c r="L33" s="110"/>
      <c r="M33" s="110"/>
      <c r="N33" s="110"/>
      <c r="O33" s="110"/>
      <c r="P33" s="110"/>
      <c r="R33" s="110"/>
      <c r="S33" s="110"/>
      <c r="T33" s="110"/>
      <c r="U33" s="110"/>
      <c r="V33" s="111">
        <v>2024</v>
      </c>
    </row>
    <row r="34" spans="1:22" ht="15.75" x14ac:dyDescent="0.25">
      <c r="A34" s="107">
        <v>45505</v>
      </c>
      <c r="B34" s="108"/>
      <c r="C34" s="108"/>
      <c r="D34" s="108"/>
      <c r="E34" s="109"/>
      <c r="G34" s="109"/>
      <c r="H34" s="109"/>
      <c r="I34" s="109"/>
      <c r="J34" s="109"/>
      <c r="K34" s="110"/>
      <c r="L34" s="110"/>
      <c r="M34" s="110"/>
      <c r="N34" s="110"/>
      <c r="O34" s="110"/>
      <c r="P34" s="110"/>
      <c r="R34" s="110"/>
      <c r="S34" s="110"/>
      <c r="T34" s="110"/>
      <c r="U34" s="110"/>
      <c r="V34" s="111">
        <v>2024</v>
      </c>
    </row>
    <row r="35" spans="1:22" ht="15.75" x14ac:dyDescent="0.25">
      <c r="A35" s="107">
        <v>45536</v>
      </c>
      <c r="B35" s="108"/>
      <c r="C35" s="108"/>
      <c r="D35" s="108"/>
      <c r="E35" s="109"/>
      <c r="G35" s="109"/>
      <c r="H35" s="109"/>
      <c r="I35" s="109"/>
      <c r="J35" s="109"/>
      <c r="K35" s="110"/>
      <c r="L35" s="110"/>
      <c r="M35" s="110"/>
      <c r="N35" s="110"/>
      <c r="O35" s="110"/>
      <c r="P35" s="110"/>
      <c r="R35" s="110"/>
      <c r="S35" s="110"/>
      <c r="T35" s="110"/>
      <c r="U35" s="110"/>
      <c r="V35" s="111">
        <v>2024</v>
      </c>
    </row>
    <row r="36" spans="1:22" ht="15.75" x14ac:dyDescent="0.25">
      <c r="A36" s="107">
        <v>45566</v>
      </c>
      <c r="B36" s="108"/>
      <c r="C36" s="108"/>
      <c r="D36" s="108"/>
      <c r="E36" s="109"/>
      <c r="G36" s="109"/>
      <c r="H36" s="109"/>
      <c r="I36" s="109"/>
      <c r="J36" s="109"/>
      <c r="K36" s="110"/>
      <c r="L36" s="110"/>
      <c r="M36" s="110"/>
      <c r="N36" s="110"/>
      <c r="O36" s="110"/>
      <c r="P36" s="110"/>
      <c r="R36" s="110"/>
      <c r="S36" s="110"/>
      <c r="T36" s="110"/>
      <c r="U36" s="110"/>
      <c r="V36" s="111">
        <v>2024</v>
      </c>
    </row>
    <row r="37" spans="1:22" ht="15.75" x14ac:dyDescent="0.25">
      <c r="A37" s="107">
        <v>45597</v>
      </c>
      <c r="B37" s="108"/>
      <c r="C37" s="108"/>
      <c r="D37" s="108"/>
      <c r="E37" s="109"/>
      <c r="G37" s="109"/>
      <c r="H37" s="109"/>
      <c r="I37" s="109"/>
      <c r="J37" s="109"/>
      <c r="K37" s="110"/>
      <c r="L37" s="110"/>
      <c r="M37" s="110"/>
      <c r="N37" s="110"/>
      <c r="O37" s="110"/>
      <c r="P37" s="110"/>
      <c r="R37" s="110"/>
      <c r="S37" s="110"/>
      <c r="T37" s="110"/>
      <c r="U37" s="110"/>
      <c r="V37" s="111">
        <v>2024</v>
      </c>
    </row>
    <row r="38" spans="1:22" ht="15.75" x14ac:dyDescent="0.25">
      <c r="A38" s="107">
        <v>45627</v>
      </c>
      <c r="B38" s="108"/>
      <c r="C38" s="108"/>
      <c r="D38" s="108"/>
      <c r="E38" s="109"/>
      <c r="G38" s="109"/>
      <c r="H38" s="109"/>
      <c r="I38" s="109"/>
      <c r="J38" s="109"/>
      <c r="K38" s="110"/>
      <c r="L38" s="110"/>
      <c r="M38" s="110"/>
      <c r="N38" s="110"/>
      <c r="O38" s="110"/>
      <c r="P38" s="110"/>
      <c r="R38" s="110"/>
      <c r="S38" s="110"/>
      <c r="T38" s="110"/>
      <c r="U38" s="110"/>
      <c r="V38" s="111">
        <v>2024</v>
      </c>
    </row>
    <row r="39" spans="1:22" ht="15.75" x14ac:dyDescent="0.25">
      <c r="A39" s="107">
        <v>45658</v>
      </c>
      <c r="B39" s="108"/>
      <c r="C39" s="108"/>
      <c r="D39" s="108"/>
      <c r="E39" s="109"/>
      <c r="G39" s="109"/>
      <c r="H39" s="109"/>
      <c r="I39" s="109"/>
      <c r="J39" s="109"/>
      <c r="K39" s="110"/>
      <c r="L39" s="110"/>
      <c r="M39" s="110"/>
      <c r="N39" s="110"/>
      <c r="O39" s="110"/>
      <c r="P39" s="110"/>
      <c r="R39" s="110"/>
      <c r="S39" s="110"/>
      <c r="T39" s="110"/>
      <c r="U39" s="110"/>
      <c r="V39" s="111">
        <v>2025</v>
      </c>
    </row>
    <row r="40" spans="1:22" ht="15.75" x14ac:dyDescent="0.25">
      <c r="A40" s="107">
        <v>45689</v>
      </c>
      <c r="B40" s="108"/>
      <c r="C40" s="108"/>
      <c r="D40" s="108"/>
      <c r="E40" s="109"/>
      <c r="G40" s="109"/>
      <c r="H40" s="109"/>
      <c r="I40" s="109"/>
      <c r="J40" s="109"/>
      <c r="K40" s="110"/>
      <c r="L40" s="110"/>
      <c r="M40" s="110"/>
      <c r="N40" s="110"/>
      <c r="O40" s="110"/>
      <c r="P40" s="110"/>
      <c r="R40" s="110"/>
      <c r="S40" s="110"/>
      <c r="T40" s="110"/>
      <c r="U40" s="110"/>
      <c r="V40" s="111">
        <v>2025</v>
      </c>
    </row>
    <row r="41" spans="1:22" ht="15.75" x14ac:dyDescent="0.25">
      <c r="A41" s="107">
        <v>45717</v>
      </c>
      <c r="B41" s="108"/>
      <c r="C41" s="108"/>
      <c r="D41" s="108"/>
      <c r="E41" s="109"/>
      <c r="G41" s="109"/>
      <c r="H41" s="109"/>
      <c r="I41" s="109"/>
      <c r="J41" s="109"/>
      <c r="K41" s="110"/>
      <c r="L41" s="110"/>
      <c r="M41" s="110"/>
      <c r="N41" s="110"/>
      <c r="O41" s="110"/>
      <c r="P41" s="110"/>
      <c r="R41" s="110"/>
      <c r="S41" s="110"/>
      <c r="T41" s="110"/>
      <c r="U41" s="110"/>
      <c r="V41" s="111">
        <v>2025</v>
      </c>
    </row>
    <row r="42" spans="1:22" ht="15.75" x14ac:dyDescent="0.25">
      <c r="A42" s="107">
        <v>45748</v>
      </c>
      <c r="B42" s="108"/>
      <c r="C42" s="108"/>
      <c r="D42" s="108"/>
      <c r="E42" s="109"/>
      <c r="G42" s="109"/>
      <c r="H42" s="109"/>
      <c r="I42" s="109"/>
      <c r="J42" s="109"/>
      <c r="K42" s="110"/>
      <c r="L42" s="110"/>
      <c r="M42" s="110"/>
      <c r="N42" s="110"/>
      <c r="O42" s="110"/>
      <c r="P42" s="110"/>
      <c r="R42" s="110"/>
      <c r="S42" s="110"/>
      <c r="T42" s="110"/>
      <c r="U42" s="110"/>
      <c r="V42" s="111">
        <v>2025</v>
      </c>
    </row>
    <row r="43" spans="1:22" ht="15.75" x14ac:dyDescent="0.25">
      <c r="A43" s="107">
        <v>45778</v>
      </c>
      <c r="B43" s="108">
        <v>960</v>
      </c>
      <c r="C43" s="108"/>
      <c r="D43" s="108">
        <v>566</v>
      </c>
      <c r="E43" s="109">
        <v>1526</v>
      </c>
      <c r="F43" s="109"/>
      <c r="G43" s="109">
        <v>10</v>
      </c>
      <c r="H43" s="109">
        <v>35</v>
      </c>
      <c r="I43" s="109">
        <v>29</v>
      </c>
      <c r="J43" s="109">
        <v>25</v>
      </c>
      <c r="K43" s="110">
        <v>100000</v>
      </c>
      <c r="L43" s="110">
        <v>367500</v>
      </c>
      <c r="M43" s="110">
        <v>87000</v>
      </c>
      <c r="N43" s="110">
        <v>22250</v>
      </c>
      <c r="O43" s="110">
        <v>237700</v>
      </c>
      <c r="P43" s="110"/>
      <c r="Q43" s="110"/>
      <c r="R43" s="110">
        <v>814450</v>
      </c>
      <c r="S43" s="110">
        <v>-814450</v>
      </c>
      <c r="T43" s="110"/>
      <c r="U43" s="110" t="s">
        <v>127</v>
      </c>
      <c r="V43" s="111">
        <v>2025</v>
      </c>
    </row>
    <row r="44" spans="1:22" ht="15.75" x14ac:dyDescent="0.25">
      <c r="A44" s="107">
        <v>45809</v>
      </c>
      <c r="B44" s="108"/>
      <c r="C44" s="108"/>
      <c r="D44" s="108"/>
      <c r="E44" s="109"/>
      <c r="F44" s="109">
        <v>925</v>
      </c>
      <c r="G44" s="109"/>
      <c r="H44" s="109"/>
      <c r="I44" s="109"/>
      <c r="J44" s="109"/>
      <c r="K44" s="110"/>
      <c r="L44" s="110"/>
      <c r="M44" s="110"/>
      <c r="N44" s="110"/>
      <c r="O44" s="110"/>
      <c r="P44" s="110">
        <v>69375</v>
      </c>
      <c r="Q44" s="110">
        <v>760000</v>
      </c>
      <c r="R44" s="110">
        <v>69375</v>
      </c>
      <c r="S44" s="110">
        <v>690625</v>
      </c>
      <c r="T44" s="110"/>
      <c r="U44" s="110" t="s">
        <v>142</v>
      </c>
      <c r="V44" s="111">
        <v>2025</v>
      </c>
    </row>
    <row r="45" spans="1:22" ht="15.75" x14ac:dyDescent="0.25">
      <c r="A45" s="107">
        <v>45839</v>
      </c>
      <c r="B45" s="108">
        <v>1184</v>
      </c>
      <c r="C45" s="108"/>
      <c r="D45" s="108">
        <v>472</v>
      </c>
      <c r="E45" s="109">
        <v>1656</v>
      </c>
      <c r="F45" s="109">
        <v>850</v>
      </c>
      <c r="G45" s="109">
        <v>30</v>
      </c>
      <c r="H45" s="109">
        <v>25</v>
      </c>
      <c r="I45" s="109">
        <v>29</v>
      </c>
      <c r="J45" s="109">
        <v>22</v>
      </c>
      <c r="K45" s="110">
        <v>300000</v>
      </c>
      <c r="L45" s="110">
        <v>265500</v>
      </c>
      <c r="M45" s="110">
        <v>92000</v>
      </c>
      <c r="N45" s="110">
        <v>20000</v>
      </c>
      <c r="O45" s="110"/>
      <c r="P45" s="110">
        <v>63750</v>
      </c>
      <c r="Q45" s="110">
        <v>762500</v>
      </c>
      <c r="R45" s="110">
        <v>741250</v>
      </c>
      <c r="S45" s="110">
        <v>21250</v>
      </c>
      <c r="T45" s="110"/>
      <c r="U45" s="110" t="s">
        <v>143</v>
      </c>
      <c r="V45" s="111">
        <v>2025</v>
      </c>
    </row>
    <row r="46" spans="1:22" ht="15.75" x14ac:dyDescent="0.25">
      <c r="A46" s="107">
        <v>45870</v>
      </c>
      <c r="B46" s="108"/>
      <c r="C46" s="108"/>
      <c r="D46" s="108"/>
      <c r="E46" s="109"/>
      <c r="F46" s="109">
        <v>377</v>
      </c>
      <c r="G46" s="109"/>
      <c r="H46" s="109"/>
      <c r="I46" s="109"/>
      <c r="J46" s="109"/>
      <c r="K46" s="110"/>
      <c r="L46" s="110"/>
      <c r="M46" s="110"/>
      <c r="N46" s="110"/>
      <c r="O46" s="110"/>
      <c r="P46" s="110">
        <v>23550</v>
      </c>
      <c r="Q46" s="110">
        <v>290300</v>
      </c>
      <c r="R46" s="110">
        <v>23550</v>
      </c>
      <c r="S46" s="110">
        <v>266750</v>
      </c>
      <c r="T46" s="110">
        <v>50400</v>
      </c>
      <c r="U46" s="110" t="s">
        <v>144</v>
      </c>
      <c r="V46" s="111">
        <v>2025</v>
      </c>
    </row>
    <row r="47" spans="1:22" ht="15.75" x14ac:dyDescent="0.25">
      <c r="A47" s="107">
        <v>45901</v>
      </c>
      <c r="B47" s="108"/>
      <c r="C47" s="108"/>
      <c r="D47" s="108"/>
      <c r="E47" s="109"/>
      <c r="F47" s="109">
        <v>550</v>
      </c>
      <c r="G47" s="109">
        <v>10</v>
      </c>
      <c r="H47" s="109"/>
      <c r="I47" s="109"/>
      <c r="J47" s="109"/>
      <c r="K47" s="110">
        <v>100000</v>
      </c>
      <c r="L47" s="110"/>
      <c r="M47" s="110"/>
      <c r="N47" s="110"/>
      <c r="O47" s="110"/>
      <c r="P47" s="110">
        <v>41250</v>
      </c>
      <c r="Q47" s="110">
        <v>436500</v>
      </c>
      <c r="R47" s="110">
        <v>141250</v>
      </c>
      <c r="S47" s="110">
        <v>295250</v>
      </c>
      <c r="T47" s="110"/>
      <c r="U47" s="110" t="s">
        <v>145</v>
      </c>
      <c r="V47" s="111">
        <v>2025</v>
      </c>
    </row>
    <row r="48" spans="1:22" ht="15.75" x14ac:dyDescent="0.25">
      <c r="A48" s="107">
        <v>45931</v>
      </c>
      <c r="B48" s="108">
        <v>584</v>
      </c>
      <c r="C48" s="108"/>
      <c r="D48" s="108"/>
      <c r="E48" s="109">
        <v>584</v>
      </c>
      <c r="F48" s="109">
        <v>414</v>
      </c>
      <c r="G48" s="109"/>
      <c r="H48" s="109">
        <v>12</v>
      </c>
      <c r="I48" s="109">
        <v>10</v>
      </c>
      <c r="J48" s="109">
        <v>11</v>
      </c>
      <c r="K48" s="110"/>
      <c r="L48" s="110">
        <v>122400</v>
      </c>
      <c r="M48" s="110">
        <v>30000</v>
      </c>
      <c r="N48" s="110">
        <v>10000</v>
      </c>
      <c r="O48" s="110">
        <v>80000</v>
      </c>
      <c r="P48" s="110">
        <v>31050</v>
      </c>
      <c r="Q48" s="110">
        <v>359700</v>
      </c>
      <c r="R48" s="110">
        <v>273450</v>
      </c>
      <c r="S48" s="110">
        <v>86250</v>
      </c>
      <c r="T48" s="110">
        <v>5000</v>
      </c>
      <c r="U48" s="110" t="s">
        <v>146</v>
      </c>
      <c r="V48" s="111">
        <v>2025</v>
      </c>
    </row>
    <row r="49" spans="1:22" ht="15.75" x14ac:dyDescent="0.25">
      <c r="A49" s="107">
        <v>45962</v>
      </c>
      <c r="B49" s="108">
        <v>1558</v>
      </c>
      <c r="C49" s="108"/>
      <c r="D49" s="108">
        <v>817</v>
      </c>
      <c r="E49" s="109">
        <v>2375</v>
      </c>
      <c r="F49" s="109">
        <v>1131</v>
      </c>
      <c r="G49" s="109">
        <v>60</v>
      </c>
      <c r="H49" s="109">
        <v>39</v>
      </c>
      <c r="I49" s="109">
        <v>42</v>
      </c>
      <c r="J49" s="109">
        <v>36</v>
      </c>
      <c r="K49" s="110">
        <v>510000</v>
      </c>
      <c r="L49" s="110">
        <v>401700</v>
      </c>
      <c r="M49" s="110">
        <v>142000</v>
      </c>
      <c r="N49" s="110">
        <v>32500</v>
      </c>
      <c r="O49" s="110">
        <v>64000</v>
      </c>
      <c r="P49" s="110">
        <v>84825</v>
      </c>
      <c r="Q49" s="110">
        <v>885500</v>
      </c>
      <c r="R49" s="110">
        <v>1235025</v>
      </c>
      <c r="S49" s="110">
        <v>-349525</v>
      </c>
      <c r="T49" s="110"/>
      <c r="U49" s="110" t="s">
        <v>147</v>
      </c>
      <c r="V49" s="111">
        <v>2025</v>
      </c>
    </row>
    <row r="50" spans="1:22" ht="15.75" x14ac:dyDescent="0.25">
      <c r="A50" s="107">
        <v>45992</v>
      </c>
      <c r="B50" s="108"/>
      <c r="C50" s="108"/>
      <c r="D50" s="108"/>
      <c r="E50" s="109"/>
      <c r="F50" s="109">
        <v>786</v>
      </c>
      <c r="G50" s="109"/>
      <c r="H50" s="109"/>
      <c r="I50" s="109"/>
      <c r="J50" s="109"/>
      <c r="K50" s="110"/>
      <c r="L50" s="110"/>
      <c r="M50" s="110"/>
      <c r="N50" s="110"/>
      <c r="O50" s="110"/>
      <c r="P50" s="110">
        <v>58950</v>
      </c>
      <c r="Q50" s="110">
        <v>723600</v>
      </c>
      <c r="R50" s="110">
        <v>58950</v>
      </c>
      <c r="S50" s="110">
        <v>664650</v>
      </c>
      <c r="T50" s="110"/>
      <c r="U50" s="110" t="s">
        <v>137</v>
      </c>
      <c r="V50" s="111">
        <v>2025</v>
      </c>
    </row>
    <row r="51" spans="1:22" x14ac:dyDescent="0.25">
      <c r="A51" s="179"/>
      <c r="C51" s="179"/>
      <c r="D51" s="179"/>
    </row>
    <row r="52" spans="1:22" x14ac:dyDescent="0.25">
      <c r="A52" s="179"/>
      <c r="C52" s="179"/>
      <c r="D52" s="179"/>
    </row>
    <row r="53" spans="1:22" x14ac:dyDescent="0.25">
      <c r="A53" s="179"/>
      <c r="C53" s="179"/>
      <c r="D53" s="179"/>
    </row>
    <row r="54" spans="1:22" x14ac:dyDescent="0.25">
      <c r="A54" s="179"/>
      <c r="C54" s="179"/>
      <c r="D54" s="179"/>
    </row>
    <row r="55" spans="1:22" x14ac:dyDescent="0.25">
      <c r="A55" s="179"/>
      <c r="C55" s="179"/>
      <c r="D55" s="179"/>
    </row>
    <row r="56" spans="1:22" x14ac:dyDescent="0.25">
      <c r="A56" s="179"/>
      <c r="C56" s="179"/>
      <c r="D56" s="179"/>
    </row>
    <row r="57" spans="1:22" x14ac:dyDescent="0.25">
      <c r="A57" s="179"/>
      <c r="C57" s="179"/>
      <c r="D57" s="179"/>
    </row>
    <row r="58" spans="1:22" x14ac:dyDescent="0.25">
      <c r="A58" s="179"/>
      <c r="C58" s="179"/>
      <c r="D58" s="179"/>
    </row>
    <row r="59" spans="1:22" x14ac:dyDescent="0.25">
      <c r="A59" s="179"/>
      <c r="C59" s="179"/>
      <c r="D59" s="179"/>
    </row>
    <row r="60" spans="1:22" x14ac:dyDescent="0.25">
      <c r="A60" s="179"/>
      <c r="C60" s="179"/>
      <c r="D60" s="179"/>
    </row>
    <row r="61" spans="1:22" x14ac:dyDescent="0.25">
      <c r="A61" s="179"/>
      <c r="C61" s="179"/>
      <c r="D61" s="179"/>
    </row>
    <row r="62" spans="1:22" x14ac:dyDescent="0.25">
      <c r="A62" s="179"/>
      <c r="C62" s="179"/>
      <c r="D62" s="179"/>
    </row>
    <row r="63" spans="1:22" x14ac:dyDescent="0.25">
      <c r="A63" s="179"/>
      <c r="C63" s="179"/>
      <c r="D63" s="179"/>
    </row>
    <row r="64" spans="1:22" x14ac:dyDescent="0.25">
      <c r="A64" s="179"/>
      <c r="C64" s="179"/>
      <c r="D64" s="179"/>
    </row>
    <row r="65" spans="1:4" x14ac:dyDescent="0.25">
      <c r="A65" s="179"/>
      <c r="C65" s="179"/>
      <c r="D65" s="179"/>
    </row>
    <row r="66" spans="1:4" x14ac:dyDescent="0.25">
      <c r="A66" s="179"/>
      <c r="C66" s="179"/>
      <c r="D66" s="179"/>
    </row>
    <row r="67" spans="1:4" x14ac:dyDescent="0.25">
      <c r="A67" s="179"/>
      <c r="C67" s="179"/>
      <c r="D67" s="179"/>
    </row>
    <row r="68" spans="1:4" x14ac:dyDescent="0.25">
      <c r="A68" s="179"/>
      <c r="C68" s="179"/>
      <c r="D68" s="179"/>
    </row>
    <row r="69" spans="1:4" x14ac:dyDescent="0.25">
      <c r="A69" s="179"/>
      <c r="C69" s="179"/>
      <c r="D69" s="179"/>
    </row>
    <row r="70" spans="1:4" x14ac:dyDescent="0.25">
      <c r="A70" s="179"/>
      <c r="C70" s="179"/>
      <c r="D70" s="179"/>
    </row>
    <row r="71" spans="1:4" x14ac:dyDescent="0.25">
      <c r="A71" s="179"/>
      <c r="C71" s="179"/>
      <c r="D71" s="179"/>
    </row>
    <row r="72" spans="1:4" x14ac:dyDescent="0.25">
      <c r="A72" s="179"/>
      <c r="C72" s="179"/>
      <c r="D72" s="179"/>
    </row>
    <row r="73" spans="1:4" x14ac:dyDescent="0.25">
      <c r="A73" s="179"/>
      <c r="C73" s="179"/>
      <c r="D73" s="179"/>
    </row>
    <row r="74" spans="1:4" x14ac:dyDescent="0.25">
      <c r="A74" s="179"/>
      <c r="C74" s="179"/>
      <c r="D74" s="179"/>
    </row>
    <row r="75" spans="1:4" x14ac:dyDescent="0.25">
      <c r="A75" s="179"/>
      <c r="C75" s="179"/>
      <c r="D75" s="179"/>
    </row>
    <row r="76" spans="1:4" x14ac:dyDescent="0.25">
      <c r="A76" s="179"/>
      <c r="C76" s="179"/>
      <c r="D76" s="179"/>
    </row>
    <row r="77" spans="1:4" x14ac:dyDescent="0.25">
      <c r="A77" s="179"/>
      <c r="C77" s="179"/>
      <c r="D77" s="179"/>
    </row>
    <row r="78" spans="1:4" x14ac:dyDescent="0.25">
      <c r="A78" s="179"/>
      <c r="C78" s="179"/>
      <c r="D78" s="179"/>
    </row>
    <row r="79" spans="1:4" x14ac:dyDescent="0.25">
      <c r="A79" s="179"/>
      <c r="C79" s="179"/>
      <c r="D79" s="179"/>
    </row>
    <row r="80" spans="1:4" x14ac:dyDescent="0.25">
      <c r="A80" s="179"/>
      <c r="C80" s="179"/>
      <c r="D80" s="179"/>
    </row>
    <row r="81" spans="1:4" x14ac:dyDescent="0.25">
      <c r="A81" s="179"/>
      <c r="C81" s="179"/>
      <c r="D81" s="179"/>
    </row>
    <row r="82" spans="1:4" x14ac:dyDescent="0.25">
      <c r="A82" s="179"/>
      <c r="C82" s="179"/>
      <c r="D82" s="179"/>
    </row>
    <row r="83" spans="1:4" x14ac:dyDescent="0.25">
      <c r="A83" s="179"/>
      <c r="C83" s="179"/>
      <c r="D83" s="179"/>
    </row>
    <row r="84" spans="1:4" x14ac:dyDescent="0.25">
      <c r="A84" s="179"/>
      <c r="C84" s="179"/>
      <c r="D84" s="179"/>
    </row>
    <row r="85" spans="1:4" x14ac:dyDescent="0.25">
      <c r="A85" s="179"/>
      <c r="C85" s="179"/>
      <c r="D85" s="179"/>
    </row>
    <row r="86" spans="1:4" x14ac:dyDescent="0.25">
      <c r="A86" s="179"/>
      <c r="C86" s="179"/>
      <c r="D86" s="179"/>
    </row>
    <row r="87" spans="1:4" x14ac:dyDescent="0.25">
      <c r="A87" s="179"/>
      <c r="C87" s="179"/>
      <c r="D87" s="179"/>
    </row>
    <row r="88" spans="1:4" x14ac:dyDescent="0.25">
      <c r="A88" s="179"/>
      <c r="C88" s="179"/>
      <c r="D88" s="179"/>
    </row>
    <row r="89" spans="1:4" x14ac:dyDescent="0.25">
      <c r="A89" s="179"/>
      <c r="C89" s="179"/>
      <c r="D89" s="179"/>
    </row>
    <row r="90" spans="1:4" x14ac:dyDescent="0.25">
      <c r="A90" s="179"/>
      <c r="C90" s="179"/>
      <c r="D90" s="179"/>
    </row>
    <row r="91" spans="1:4" x14ac:dyDescent="0.25">
      <c r="A91" s="179"/>
      <c r="C91" s="179"/>
      <c r="D91" s="179"/>
    </row>
    <row r="92" spans="1:4" x14ac:dyDescent="0.25">
      <c r="A92" s="179"/>
      <c r="C92" s="179"/>
      <c r="D92" s="179"/>
    </row>
    <row r="93" spans="1:4" x14ac:dyDescent="0.25">
      <c r="A93" s="179"/>
      <c r="C93" s="179"/>
      <c r="D93" s="179"/>
    </row>
    <row r="94" spans="1:4" x14ac:dyDescent="0.25">
      <c r="A94" s="179"/>
      <c r="C94" s="179"/>
      <c r="D94" s="179"/>
    </row>
    <row r="95" spans="1:4" x14ac:dyDescent="0.25">
      <c r="A95" s="179"/>
      <c r="C95" s="179"/>
      <c r="D95" s="179"/>
    </row>
    <row r="96" spans="1:4" x14ac:dyDescent="0.25">
      <c r="A96" s="179"/>
      <c r="C96" s="179"/>
      <c r="D96" s="179"/>
    </row>
    <row r="97" spans="1:4" x14ac:dyDescent="0.25">
      <c r="A97" s="179"/>
      <c r="C97" s="179"/>
      <c r="D97" s="179"/>
    </row>
    <row r="98" spans="1:4" x14ac:dyDescent="0.25">
      <c r="A98" s="179"/>
      <c r="C98" s="179"/>
      <c r="D98" s="179"/>
    </row>
    <row r="99" spans="1:4" x14ac:dyDescent="0.25">
      <c r="A99" s="179"/>
      <c r="C99" s="179"/>
      <c r="D99" s="179"/>
    </row>
    <row r="100" spans="1:4" x14ac:dyDescent="0.25">
      <c r="A100" s="179"/>
      <c r="C100" s="179"/>
      <c r="D100" s="179"/>
    </row>
    <row r="101" spans="1:4" x14ac:dyDescent="0.25">
      <c r="A101" s="179"/>
      <c r="C101" s="179"/>
      <c r="D101" s="179"/>
    </row>
    <row r="102" spans="1:4" x14ac:dyDescent="0.25">
      <c r="A102" s="179"/>
      <c r="C102" s="179"/>
      <c r="D102" s="179"/>
    </row>
    <row r="103" spans="1:4" x14ac:dyDescent="0.25">
      <c r="A103" s="179"/>
      <c r="C103" s="179"/>
      <c r="D103" s="179"/>
    </row>
    <row r="104" spans="1:4" x14ac:dyDescent="0.25">
      <c r="A104" s="179"/>
      <c r="C104" s="179"/>
      <c r="D104" s="179"/>
    </row>
    <row r="105" spans="1:4" x14ac:dyDescent="0.25">
      <c r="A105" s="179"/>
      <c r="C105" s="179"/>
      <c r="D105" s="179"/>
    </row>
    <row r="106" spans="1:4" x14ac:dyDescent="0.25">
      <c r="A106" s="179"/>
      <c r="C106" s="179"/>
      <c r="D106" s="179"/>
    </row>
    <row r="107" spans="1:4" x14ac:dyDescent="0.25">
      <c r="A107" s="179"/>
      <c r="C107" s="179"/>
      <c r="D107" s="179"/>
    </row>
    <row r="108" spans="1:4" x14ac:dyDescent="0.25">
      <c r="A108" s="179"/>
      <c r="C108" s="179"/>
      <c r="D108" s="179"/>
    </row>
    <row r="109" spans="1:4" x14ac:dyDescent="0.25">
      <c r="A109" s="179"/>
      <c r="C109" s="179"/>
      <c r="D109" s="179"/>
    </row>
    <row r="110" spans="1:4" x14ac:dyDescent="0.25">
      <c r="A110" s="179"/>
      <c r="C110" s="179"/>
      <c r="D110" s="179"/>
    </row>
    <row r="111" spans="1:4" x14ac:dyDescent="0.25">
      <c r="A111" s="179"/>
      <c r="C111" s="179"/>
      <c r="D111" s="179"/>
    </row>
    <row r="112" spans="1:4" x14ac:dyDescent="0.25">
      <c r="A112" s="179"/>
      <c r="C112" s="179"/>
      <c r="D112" s="179"/>
    </row>
    <row r="113" spans="1:4" x14ac:dyDescent="0.25">
      <c r="A113" s="179"/>
      <c r="C113" s="179"/>
      <c r="D113" s="179"/>
    </row>
    <row r="114" spans="1:4" x14ac:dyDescent="0.25">
      <c r="A114" s="179"/>
      <c r="C114" s="179"/>
      <c r="D114" s="179"/>
    </row>
    <row r="115" spans="1:4" x14ac:dyDescent="0.25">
      <c r="A115" s="179"/>
      <c r="C115" s="179"/>
      <c r="D115" s="179"/>
    </row>
    <row r="116" spans="1:4" x14ac:dyDescent="0.25">
      <c r="A116" s="179"/>
      <c r="C116" s="179"/>
      <c r="D116" s="179"/>
    </row>
    <row r="117" spans="1:4" x14ac:dyDescent="0.25">
      <c r="A117" s="179"/>
      <c r="C117" s="179"/>
      <c r="D117" s="179"/>
    </row>
    <row r="118" spans="1:4" x14ac:dyDescent="0.25">
      <c r="A118" s="179"/>
      <c r="C118" s="179"/>
      <c r="D118" s="179"/>
    </row>
    <row r="119" spans="1:4" x14ac:dyDescent="0.25">
      <c r="A119" s="179"/>
      <c r="C119" s="179"/>
      <c r="D119" s="179"/>
    </row>
    <row r="120" spans="1:4" x14ac:dyDescent="0.25">
      <c r="A120" s="179"/>
      <c r="C120" s="179"/>
      <c r="D120" s="179"/>
    </row>
    <row r="121" spans="1:4" x14ac:dyDescent="0.25">
      <c r="A121" s="179"/>
      <c r="C121" s="179"/>
      <c r="D121" s="179"/>
    </row>
    <row r="122" spans="1:4" x14ac:dyDescent="0.25">
      <c r="A122" s="179"/>
      <c r="C122" s="179"/>
      <c r="D122" s="179"/>
    </row>
    <row r="123" spans="1:4" x14ac:dyDescent="0.25">
      <c r="A123" s="179"/>
      <c r="C123" s="179"/>
      <c r="D123" s="179"/>
    </row>
    <row r="124" spans="1:4" x14ac:dyDescent="0.25">
      <c r="A124" s="179"/>
      <c r="C124" s="179"/>
      <c r="D124" s="179"/>
    </row>
    <row r="125" spans="1:4" x14ac:dyDescent="0.25">
      <c r="A125" s="179"/>
      <c r="C125" s="179"/>
      <c r="D125" s="179"/>
    </row>
    <row r="126" spans="1:4" x14ac:dyDescent="0.25">
      <c r="A126" s="179"/>
      <c r="C126" s="179"/>
      <c r="D126" s="179"/>
    </row>
    <row r="127" spans="1:4" x14ac:dyDescent="0.25">
      <c r="A127" s="179"/>
      <c r="C127" s="179"/>
      <c r="D127" s="179"/>
    </row>
    <row r="128" spans="1:4" x14ac:dyDescent="0.25">
      <c r="A128" s="179"/>
      <c r="C128" s="179"/>
      <c r="D128" s="179"/>
    </row>
    <row r="129" spans="1:4" x14ac:dyDescent="0.25">
      <c r="A129" s="179"/>
      <c r="C129" s="179"/>
      <c r="D129" s="179"/>
    </row>
    <row r="130" spans="1:4" x14ac:dyDescent="0.25">
      <c r="A130" s="179"/>
      <c r="C130" s="179"/>
      <c r="D130" s="179"/>
    </row>
    <row r="131" spans="1:4" x14ac:dyDescent="0.25">
      <c r="A131" s="179"/>
      <c r="C131" s="179"/>
      <c r="D131" s="179"/>
    </row>
    <row r="132" spans="1:4" x14ac:dyDescent="0.25">
      <c r="A132" s="179"/>
      <c r="C132" s="179"/>
      <c r="D132" s="179"/>
    </row>
    <row r="133" spans="1:4" x14ac:dyDescent="0.25">
      <c r="A133" s="179"/>
      <c r="C133" s="179"/>
      <c r="D133" s="179"/>
    </row>
    <row r="134" spans="1:4" x14ac:dyDescent="0.25">
      <c r="A134" s="179"/>
      <c r="C134" s="179"/>
      <c r="D134" s="179"/>
    </row>
    <row r="135" spans="1:4" x14ac:dyDescent="0.25">
      <c r="A135" s="179"/>
      <c r="C135" s="179"/>
      <c r="D135" s="179"/>
    </row>
    <row r="136" spans="1:4" x14ac:dyDescent="0.25">
      <c r="A136" s="179"/>
      <c r="C136" s="179"/>
      <c r="D136" s="179"/>
    </row>
    <row r="137" spans="1:4" x14ac:dyDescent="0.25">
      <c r="A137" s="179"/>
      <c r="C137" s="179"/>
      <c r="D137" s="179"/>
    </row>
    <row r="138" spans="1:4" x14ac:dyDescent="0.25">
      <c r="A138" s="179"/>
      <c r="C138" s="179"/>
      <c r="D138" s="179"/>
    </row>
    <row r="139" spans="1:4" x14ac:dyDescent="0.25">
      <c r="A139" s="179"/>
      <c r="C139" s="179"/>
      <c r="D139" s="179"/>
    </row>
    <row r="140" spans="1:4" x14ac:dyDescent="0.25">
      <c r="A140" s="179"/>
      <c r="C140" s="179"/>
      <c r="D140" s="179"/>
    </row>
    <row r="141" spans="1:4" x14ac:dyDescent="0.25">
      <c r="A141" s="179"/>
      <c r="C141" s="179"/>
      <c r="D141" s="179"/>
    </row>
    <row r="142" spans="1:4" x14ac:dyDescent="0.25">
      <c r="A142" s="179"/>
      <c r="C142" s="179"/>
      <c r="D142" s="179"/>
    </row>
    <row r="143" spans="1:4" x14ac:dyDescent="0.25">
      <c r="A143" s="179"/>
      <c r="C143" s="179"/>
      <c r="D143" s="179"/>
    </row>
    <row r="144" spans="1:4" x14ac:dyDescent="0.25">
      <c r="A144" s="179"/>
      <c r="C144" s="179"/>
      <c r="D144" s="179"/>
    </row>
    <row r="145" spans="1:4" x14ac:dyDescent="0.25">
      <c r="A145" s="179"/>
      <c r="C145" s="179"/>
      <c r="D145" s="179"/>
    </row>
    <row r="146" spans="1:4" x14ac:dyDescent="0.25">
      <c r="A146" s="179"/>
      <c r="C146" s="179"/>
      <c r="D146" s="179"/>
    </row>
    <row r="147" spans="1:4" x14ac:dyDescent="0.25">
      <c r="A147" s="179"/>
      <c r="C147" s="179"/>
      <c r="D147" s="17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83"/>
  <sheetViews>
    <sheetView topLeftCell="A52" zoomScale="98" zoomScaleNormal="98" workbookViewId="0">
      <selection activeCell="E23" sqref="E23"/>
    </sheetView>
  </sheetViews>
  <sheetFormatPr defaultRowHeight="15" x14ac:dyDescent="0.25"/>
  <cols>
    <col min="1" max="1" width="13.140625" style="6" customWidth="1"/>
    <col min="2" max="2" width="26.42578125" style="26" customWidth="1"/>
    <col min="3" max="3" width="16.42578125" style="6" customWidth="1"/>
    <col min="4" max="26" width="9" style="6" customWidth="1"/>
    <col min="27" max="29" width="10.5703125" style="6" customWidth="1"/>
    <col min="30" max="30" width="11.28515625" style="6" customWidth="1"/>
    <col min="31" max="31" width="18.5703125" style="6" bestFit="1" customWidth="1"/>
    <col min="32" max="32" width="24.85546875" style="6" bestFit="1" customWidth="1"/>
    <col min="33" max="33" width="18.5703125" style="6" bestFit="1" customWidth="1"/>
    <col min="34" max="34" width="24.85546875" style="6" bestFit="1" customWidth="1"/>
    <col min="35" max="35" width="18.5703125" style="6" bestFit="1" customWidth="1"/>
    <col min="36" max="36" width="24.85546875" style="6" bestFit="1" customWidth="1"/>
    <col min="37" max="37" width="18.5703125" style="6" bestFit="1" customWidth="1"/>
    <col min="38" max="38" width="24.85546875" style="6" bestFit="1" customWidth="1"/>
    <col min="39" max="39" width="18.5703125" style="6" bestFit="1" customWidth="1"/>
    <col min="40" max="40" width="24.85546875" style="6" bestFit="1" customWidth="1"/>
    <col min="41" max="41" width="18.5703125" style="6" bestFit="1" customWidth="1"/>
    <col min="42" max="42" width="24.85546875" style="6" bestFit="1" customWidth="1"/>
    <col min="43" max="43" width="18.5703125" style="6" bestFit="1" customWidth="1"/>
    <col min="44" max="44" width="24.85546875" style="6" bestFit="1" customWidth="1"/>
    <col min="45" max="45" width="18.5703125" style="6" bestFit="1" customWidth="1"/>
    <col min="46" max="46" width="24.85546875" style="6" bestFit="1" customWidth="1"/>
    <col min="47" max="47" width="18.5703125" style="6" bestFit="1" customWidth="1"/>
    <col min="48" max="48" width="24.85546875" style="6" bestFit="1" customWidth="1"/>
    <col min="49" max="49" width="18.5703125" style="6" bestFit="1" customWidth="1"/>
    <col min="50" max="50" width="24.85546875" style="6" bestFit="1" customWidth="1"/>
    <col min="51" max="51" width="18.5703125" style="6" bestFit="1" customWidth="1"/>
    <col min="52" max="52" width="24.85546875" style="6" bestFit="1" customWidth="1"/>
    <col min="53" max="53" width="18.5703125" style="6" bestFit="1" customWidth="1"/>
    <col min="54" max="54" width="24.85546875" style="6" bestFit="1" customWidth="1"/>
    <col min="55" max="55" width="18.5703125" style="6" bestFit="1" customWidth="1"/>
    <col min="56" max="56" width="24.85546875" style="6" bestFit="1" customWidth="1"/>
    <col min="57" max="57" width="18.5703125" style="6" bestFit="1" customWidth="1"/>
    <col min="58" max="58" width="30" style="6" bestFit="1" customWidth="1"/>
    <col min="59" max="59" width="23.5703125" style="6" bestFit="1" customWidth="1"/>
    <col min="60" max="60" width="6.85546875" style="6" bestFit="1" customWidth="1"/>
    <col min="61" max="61" width="9.85546875" style="6" bestFit="1" customWidth="1"/>
    <col min="62" max="62" width="6.85546875" style="6" bestFit="1" customWidth="1"/>
    <col min="63" max="63" width="9.85546875" style="6" bestFit="1" customWidth="1"/>
    <col min="64" max="64" width="6.85546875" style="6" bestFit="1" customWidth="1"/>
    <col min="65" max="65" width="9.85546875" style="6" bestFit="1" customWidth="1"/>
    <col min="66" max="66" width="6.85546875" style="6" bestFit="1" customWidth="1"/>
    <col min="67" max="67" width="9.85546875" style="6" bestFit="1" customWidth="1"/>
    <col min="68" max="68" width="11.28515625" style="6" bestFit="1" customWidth="1"/>
    <col min="69" max="16384" width="9.140625" style="6"/>
  </cols>
  <sheetData>
    <row r="1" spans="1:59" x14ac:dyDescent="0.25">
      <c r="A1"/>
      <c r="B1" s="25"/>
    </row>
    <row r="2" spans="1:59" x14ac:dyDescent="0.25">
      <c r="A2"/>
      <c r="B2" s="25"/>
    </row>
    <row r="3" spans="1:59" x14ac:dyDescent="0.25">
      <c r="A3"/>
      <c r="B3" s="25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</row>
    <row r="4" spans="1:59" s="4" customFormat="1" x14ac:dyDescent="0.25">
      <c r="A4"/>
      <c r="B4" s="25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</row>
    <row r="5" spans="1:59" ht="15.75" x14ac:dyDescent="0.25">
      <c r="A5" s="19" t="s">
        <v>114</v>
      </c>
      <c r="B5" s="27" t="s">
        <v>159</v>
      </c>
      <c r="C5" s="4" t="s">
        <v>158</v>
      </c>
      <c r="D5"/>
      <c r="E5" s="66" t="s">
        <v>170</v>
      </c>
      <c r="F5"/>
      <c r="G5"/>
      <c r="H5"/>
      <c r="I5"/>
      <c r="J5"/>
      <c r="K5"/>
      <c r="L5" s="66" t="s">
        <v>200</v>
      </c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</row>
    <row r="6" spans="1:59" x14ac:dyDescent="0.25">
      <c r="A6" s="22">
        <v>2021</v>
      </c>
      <c r="B6" s="27">
        <v>1856</v>
      </c>
      <c r="C6" s="4">
        <v>276125</v>
      </c>
      <c r="D6"/>
      <c r="E6" s="63"/>
      <c r="F6"/>
      <c r="G6" s="60">
        <f t="shared" ref="G6:G47" si="0">SUM(C6/B6)</f>
        <v>148.77424568965517</v>
      </c>
      <c r="H6"/>
      <c r="I6"/>
      <c r="J6"/>
      <c r="K6"/>
      <c r="L6" s="97">
        <f>GETPIVOTDATA("[Measures].[Sum of Total Qty Produced]",$A$5,"[Range].[ANUALLY]","[Range].[ANUALLY].&amp;[2021]")/GETPIVOTDATA("[Measures].[Sum of Total Cost]",$A$5,"[Range].[ANUALLY]","[Range].[ANUALLY].&amp;[2021]")</f>
        <v>6.7215934812132182E-3</v>
      </c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</row>
    <row r="7" spans="1:59" x14ac:dyDescent="0.25">
      <c r="A7" s="23" t="s">
        <v>137</v>
      </c>
      <c r="B7" s="27">
        <v>1856</v>
      </c>
      <c r="C7" s="4">
        <v>276125</v>
      </c>
      <c r="D7"/>
      <c r="E7" s="63"/>
      <c r="F7"/>
      <c r="G7" s="61">
        <f t="shared" si="0"/>
        <v>148.77424568965517</v>
      </c>
      <c r="H7"/>
      <c r="I7"/>
      <c r="J7"/>
      <c r="K7"/>
      <c r="L7" s="9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</row>
    <row r="8" spans="1:59" x14ac:dyDescent="0.25">
      <c r="A8" s="22">
        <v>2022</v>
      </c>
      <c r="B8" s="27">
        <v>18559</v>
      </c>
      <c r="C8" s="4">
        <v>5092800</v>
      </c>
      <c r="D8"/>
      <c r="E8" s="63"/>
      <c r="F8"/>
      <c r="G8" s="60">
        <f t="shared" si="0"/>
        <v>274.41133681771646</v>
      </c>
      <c r="H8"/>
      <c r="I8"/>
      <c r="J8"/>
      <c r="K8"/>
      <c r="L8" s="97">
        <f>GETPIVOTDATA("[Measures].[Sum of Total Qty Produced]",$A$5,"[Range].[ANUALLY]","[Range].[ANUALLY].&amp;[2022]")/GETPIVOTDATA("[Measures].[Sum of Total Cost]",$A$5,"[Range].[ANUALLY]","[Range].[ANUALLY].&amp;[2022]")</f>
        <v>3.6441643103989948E-3</v>
      </c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</row>
    <row r="9" spans="1:59" x14ac:dyDescent="0.25">
      <c r="A9" s="23" t="s">
        <v>138</v>
      </c>
      <c r="B9" s="27"/>
      <c r="C9" s="4">
        <v>63700</v>
      </c>
      <c r="D9"/>
      <c r="E9" s="63"/>
      <c r="F9"/>
      <c r="G9" s="61" t="e">
        <f t="shared" si="0"/>
        <v>#DIV/0!</v>
      </c>
      <c r="H9"/>
      <c r="I9"/>
      <c r="J9"/>
      <c r="K9"/>
      <c r="L9" s="97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</row>
    <row r="10" spans="1:59" x14ac:dyDescent="0.25">
      <c r="A10" s="23" t="s">
        <v>139</v>
      </c>
      <c r="B10" s="27">
        <v>2360</v>
      </c>
      <c r="C10" s="4">
        <v>472150</v>
      </c>
      <c r="D10"/>
      <c r="E10" s="63"/>
      <c r="F10"/>
      <c r="G10" s="61">
        <f t="shared" si="0"/>
        <v>200.06355932203391</v>
      </c>
      <c r="H10"/>
      <c r="I10"/>
      <c r="J10"/>
      <c r="K10"/>
      <c r="L10" s="97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</row>
    <row r="11" spans="1:59" x14ac:dyDescent="0.25">
      <c r="A11" s="23" t="s">
        <v>140</v>
      </c>
      <c r="B11" s="27">
        <v>788</v>
      </c>
      <c r="C11" s="4">
        <v>255900</v>
      </c>
      <c r="D11"/>
      <c r="E11" s="63"/>
      <c r="F11" s="63"/>
      <c r="G11" s="61">
        <f t="shared" si="0"/>
        <v>324.74619289340103</v>
      </c>
      <c r="H11"/>
      <c r="I11"/>
      <c r="J11"/>
      <c r="L11" s="97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</row>
    <row r="12" spans="1:59" x14ac:dyDescent="0.25">
      <c r="A12" s="23" t="s">
        <v>141</v>
      </c>
      <c r="B12" s="27">
        <v>1498</v>
      </c>
      <c r="C12" s="4">
        <v>340400</v>
      </c>
      <c r="D12"/>
      <c r="E12" s="63"/>
      <c r="F12"/>
      <c r="G12" s="61">
        <f t="shared" si="0"/>
        <v>227.23631508678238</v>
      </c>
      <c r="H12"/>
      <c r="I12"/>
      <c r="J12"/>
      <c r="K12"/>
      <c r="L12" s="97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</row>
    <row r="13" spans="1:59" ht="15.75" x14ac:dyDescent="0.25">
      <c r="A13" s="23" t="s">
        <v>127</v>
      </c>
      <c r="B13" s="27">
        <v>546</v>
      </c>
      <c r="C13" s="4">
        <v>115800</v>
      </c>
      <c r="D13"/>
      <c r="E13" s="63"/>
      <c r="F13"/>
      <c r="G13" s="61">
        <f t="shared" si="0"/>
        <v>212.08791208791209</v>
      </c>
      <c r="H13"/>
      <c r="I13"/>
      <c r="J13"/>
      <c r="K13" s="66"/>
      <c r="L13" s="97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</row>
    <row r="14" spans="1:59" x14ac:dyDescent="0.25">
      <c r="A14" s="23" t="s">
        <v>142</v>
      </c>
      <c r="B14" s="27">
        <v>645</v>
      </c>
      <c r="C14" s="4">
        <v>261800</v>
      </c>
      <c r="D14"/>
      <c r="E14" s="63"/>
      <c r="F14"/>
      <c r="G14" s="61">
        <f t="shared" si="0"/>
        <v>405.89147286821708</v>
      </c>
      <c r="H14"/>
      <c r="I14"/>
      <c r="J14"/>
      <c r="K14"/>
      <c r="L14" s="97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</row>
    <row r="15" spans="1:59" x14ac:dyDescent="0.25">
      <c r="A15" s="23" t="s">
        <v>143</v>
      </c>
      <c r="B15" s="27">
        <v>780</v>
      </c>
      <c r="C15" s="4">
        <v>142700</v>
      </c>
      <c r="D15"/>
      <c r="E15" s="63"/>
      <c r="F15"/>
      <c r="G15" s="61">
        <f t="shared" si="0"/>
        <v>182.94871794871796</v>
      </c>
      <c r="H15"/>
      <c r="I15"/>
      <c r="J15"/>
      <c r="K15"/>
      <c r="L15" s="97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</row>
    <row r="16" spans="1:59" x14ac:dyDescent="0.25">
      <c r="A16" s="23" t="s">
        <v>144</v>
      </c>
      <c r="B16" s="27">
        <v>3795</v>
      </c>
      <c r="C16" s="4">
        <v>1295200</v>
      </c>
      <c r="D16"/>
      <c r="E16" s="63"/>
      <c r="F16"/>
      <c r="G16" s="61">
        <f t="shared" si="0"/>
        <v>341.29117259552044</v>
      </c>
      <c r="H16"/>
      <c r="I16"/>
      <c r="J16"/>
      <c r="K16"/>
      <c r="L16" s="97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</row>
    <row r="17" spans="1:59" x14ac:dyDescent="0.25">
      <c r="A17" s="23" t="s">
        <v>145</v>
      </c>
      <c r="B17" s="27">
        <v>2286</v>
      </c>
      <c r="C17" s="4">
        <v>444350</v>
      </c>
      <c r="D17"/>
      <c r="E17" s="63"/>
      <c r="F17"/>
      <c r="G17" s="61">
        <f t="shared" si="0"/>
        <v>194.37882764654418</v>
      </c>
      <c r="H17"/>
      <c r="I17"/>
      <c r="J17"/>
      <c r="K17"/>
      <c r="L17" s="9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</row>
    <row r="18" spans="1:59" x14ac:dyDescent="0.25">
      <c r="A18" s="23" t="s">
        <v>146</v>
      </c>
      <c r="B18" s="27">
        <v>3774</v>
      </c>
      <c r="C18" s="4">
        <v>1017500</v>
      </c>
      <c r="D18"/>
      <c r="E18" s="63"/>
      <c r="F18"/>
      <c r="G18" s="61">
        <f t="shared" si="0"/>
        <v>269.60784313725492</v>
      </c>
      <c r="H18"/>
      <c r="I18"/>
      <c r="J18"/>
      <c r="K18"/>
      <c r="L18" s="97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</row>
    <row r="19" spans="1:59" x14ac:dyDescent="0.25">
      <c r="A19" s="23" t="s">
        <v>147</v>
      </c>
      <c r="B19" s="27">
        <v>430</v>
      </c>
      <c r="C19" s="4">
        <v>172000</v>
      </c>
      <c r="D19"/>
      <c r="E19" s="63"/>
      <c r="F19"/>
      <c r="G19" s="61">
        <f t="shared" si="0"/>
        <v>400</v>
      </c>
      <c r="H19"/>
      <c r="I19"/>
      <c r="J19"/>
      <c r="K19"/>
      <c r="L19" s="97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</row>
    <row r="20" spans="1:59" x14ac:dyDescent="0.25">
      <c r="A20" s="23" t="s">
        <v>137</v>
      </c>
      <c r="B20" s="27">
        <v>1657</v>
      </c>
      <c r="C20" s="4">
        <v>511300</v>
      </c>
      <c r="D20"/>
      <c r="E20" s="63"/>
      <c r="F20"/>
      <c r="G20" s="61">
        <f t="shared" si="0"/>
        <v>308.56970428485215</v>
      </c>
      <c r="H20"/>
      <c r="I20"/>
      <c r="J20"/>
      <c r="K20"/>
      <c r="L20" s="97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</row>
    <row r="21" spans="1:59" x14ac:dyDescent="0.25">
      <c r="A21" s="22">
        <v>2023</v>
      </c>
      <c r="B21" s="27">
        <v>17313</v>
      </c>
      <c r="C21" s="4">
        <v>5566750</v>
      </c>
      <c r="D21"/>
      <c r="E21" s="63"/>
      <c r="F21"/>
      <c r="G21" s="60">
        <f t="shared" si="0"/>
        <v>321.53584012014096</v>
      </c>
      <c r="H21"/>
      <c r="I21"/>
      <c r="J21"/>
      <c r="K21"/>
      <c r="L21" s="97">
        <f>GETPIVOTDATA("[Measures].[Sum of Total Qty Produced]",$A$5,"[Range].[ANUALLY]","[Range].[ANUALLY].&amp;[2023]")/GETPIVOTDATA("[Measures].[Sum of Total Cost]",$A$5,"[Range].[ANUALLY]","[Range].[ANUALLY].&amp;[2023]")</f>
        <v>3.1100732024969685E-3</v>
      </c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</row>
    <row r="22" spans="1:59" x14ac:dyDescent="0.25">
      <c r="A22" s="23" t="s">
        <v>138</v>
      </c>
      <c r="B22" s="27">
        <v>824</v>
      </c>
      <c r="C22" s="4">
        <v>258900</v>
      </c>
      <c r="D22"/>
      <c r="E22" s="63"/>
      <c r="F22"/>
      <c r="G22" s="61">
        <f t="shared" si="0"/>
        <v>314.19902912621359</v>
      </c>
      <c r="H22"/>
      <c r="I22"/>
      <c r="J22"/>
      <c r="K22"/>
      <c r="L22" s="97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</row>
    <row r="23" spans="1:59" x14ac:dyDescent="0.25">
      <c r="A23" s="23" t="s">
        <v>140</v>
      </c>
      <c r="B23" s="27">
        <v>2011</v>
      </c>
      <c r="C23" s="4">
        <v>568960</v>
      </c>
      <c r="D23"/>
      <c r="E23" s="63"/>
      <c r="F23"/>
      <c r="G23" s="61">
        <f t="shared" si="0"/>
        <v>282.92391844853307</v>
      </c>
      <c r="H23"/>
      <c r="I23"/>
      <c r="J23"/>
      <c r="K23"/>
      <c r="L23" s="97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</row>
    <row r="24" spans="1:59" x14ac:dyDescent="0.25">
      <c r="A24" s="23" t="s">
        <v>141</v>
      </c>
      <c r="B24" s="27">
        <v>3615</v>
      </c>
      <c r="C24" s="4">
        <v>877290</v>
      </c>
      <c r="D24"/>
      <c r="E24" s="63"/>
      <c r="F24"/>
      <c r="G24" s="61">
        <f t="shared" si="0"/>
        <v>242.68049792531122</v>
      </c>
      <c r="H24"/>
      <c r="I24"/>
      <c r="J24"/>
      <c r="K24"/>
      <c r="L24" s="97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</row>
    <row r="25" spans="1:59" x14ac:dyDescent="0.25">
      <c r="A25" s="23" t="s">
        <v>127</v>
      </c>
      <c r="B25" s="27">
        <v>504</v>
      </c>
      <c r="C25" s="4">
        <v>179420</v>
      </c>
      <c r="D25"/>
      <c r="E25" s="63"/>
      <c r="F25"/>
      <c r="G25" s="61">
        <f t="shared" si="0"/>
        <v>355.99206349206349</v>
      </c>
      <c r="H25"/>
      <c r="I25"/>
      <c r="J25"/>
      <c r="K25"/>
      <c r="L25" s="97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</row>
    <row r="26" spans="1:59" x14ac:dyDescent="0.25">
      <c r="A26" s="23" t="s">
        <v>142</v>
      </c>
      <c r="B26" s="27">
        <v>760</v>
      </c>
      <c r="C26" s="4">
        <v>442200</v>
      </c>
      <c r="D26"/>
      <c r="E26" s="63"/>
      <c r="F26"/>
      <c r="G26" s="61">
        <f t="shared" si="0"/>
        <v>581.84210526315792</v>
      </c>
      <c r="H26"/>
      <c r="I26"/>
      <c r="J26"/>
      <c r="K26"/>
      <c r="L26" s="97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</row>
    <row r="27" spans="1:59" x14ac:dyDescent="0.25">
      <c r="A27" s="23" t="s">
        <v>143</v>
      </c>
      <c r="B27" s="27">
        <v>903</v>
      </c>
      <c r="C27" s="4">
        <v>360670</v>
      </c>
      <c r="D27"/>
      <c r="E27" s="63"/>
      <c r="F27"/>
      <c r="G27" s="61">
        <f t="shared" si="0"/>
        <v>399.41306755260246</v>
      </c>
      <c r="H27"/>
      <c r="I27"/>
      <c r="J27"/>
      <c r="K27"/>
      <c r="L27" s="9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</row>
    <row r="28" spans="1:59" x14ac:dyDescent="0.25">
      <c r="A28" s="23" t="s">
        <v>144</v>
      </c>
      <c r="B28" s="27">
        <v>1040</v>
      </c>
      <c r="C28" s="4">
        <v>275580</v>
      </c>
      <c r="D28"/>
      <c r="E28" s="63"/>
      <c r="F28"/>
      <c r="G28" s="61">
        <f t="shared" si="0"/>
        <v>264.98076923076923</v>
      </c>
      <c r="H28"/>
      <c r="I28"/>
      <c r="J28"/>
      <c r="K28"/>
      <c r="L28" s="97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</row>
    <row r="29" spans="1:59" x14ac:dyDescent="0.25">
      <c r="A29" s="23" t="s">
        <v>145</v>
      </c>
      <c r="B29" s="27">
        <v>2079</v>
      </c>
      <c r="C29" s="4">
        <v>690830</v>
      </c>
      <c r="D29"/>
      <c r="E29" s="63"/>
      <c r="F29"/>
      <c r="G29" s="61">
        <f t="shared" si="0"/>
        <v>332.2895622895623</v>
      </c>
      <c r="H29"/>
      <c r="I29"/>
      <c r="J29"/>
      <c r="K29"/>
      <c r="L29" s="97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</row>
    <row r="30" spans="1:59" x14ac:dyDescent="0.25">
      <c r="A30" s="23" t="s">
        <v>146</v>
      </c>
      <c r="B30" s="27">
        <v>2780</v>
      </c>
      <c r="C30" s="4">
        <v>971030</v>
      </c>
      <c r="D30"/>
      <c r="E30" s="63"/>
      <c r="F30"/>
      <c r="G30" s="61">
        <f t="shared" si="0"/>
        <v>349.29136690647482</v>
      </c>
      <c r="H30"/>
      <c r="I30"/>
      <c r="J30"/>
      <c r="K30"/>
      <c r="L30" s="97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</row>
    <row r="31" spans="1:59" x14ac:dyDescent="0.25">
      <c r="A31" s="23" t="s">
        <v>147</v>
      </c>
      <c r="B31" s="27">
        <v>1140</v>
      </c>
      <c r="C31" s="4">
        <v>295620</v>
      </c>
      <c r="D31"/>
      <c r="E31" s="63"/>
      <c r="F31"/>
      <c r="G31" s="61">
        <f t="shared" si="0"/>
        <v>259.31578947368422</v>
      </c>
      <c r="H31"/>
      <c r="I31"/>
      <c r="J31"/>
      <c r="K31"/>
      <c r="L31" s="97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</row>
    <row r="32" spans="1:59" x14ac:dyDescent="0.25">
      <c r="A32" s="23" t="s">
        <v>137</v>
      </c>
      <c r="B32" s="27">
        <v>1657</v>
      </c>
      <c r="C32" s="4">
        <v>646250</v>
      </c>
      <c r="D32"/>
      <c r="E32" s="63"/>
      <c r="F32"/>
      <c r="G32" s="61">
        <f t="shared" si="0"/>
        <v>390.012070006035</v>
      </c>
      <c r="H32"/>
      <c r="I32"/>
      <c r="J32"/>
      <c r="K32"/>
      <c r="L32" s="97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</row>
    <row r="33" spans="1:59" x14ac:dyDescent="0.25">
      <c r="A33" s="22">
        <v>2024</v>
      </c>
      <c r="B33" s="27">
        <v>2010</v>
      </c>
      <c r="C33" s="4">
        <v>1162000</v>
      </c>
      <c r="D33"/>
      <c r="E33" s="63"/>
      <c r="F33"/>
      <c r="G33" s="60">
        <f t="shared" si="0"/>
        <v>578.10945273631842</v>
      </c>
      <c r="H33"/>
      <c r="I33"/>
      <c r="J33"/>
      <c r="K33"/>
      <c r="L33" s="97">
        <f>GETPIVOTDATA("[Measures].[Sum of Total Qty Produced]",$A$5,"[Range].[ANUALLY]","[Range].[ANUALLY].&amp;[2024]")/GETPIVOTDATA("[Measures].[Sum of Total Cost]",$A$5,"[Range].[ANUALLY]","[Range].[ANUALLY].&amp;[2024]")</f>
        <v>1.729776247848537E-3</v>
      </c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</row>
    <row r="34" spans="1:59" x14ac:dyDescent="0.25">
      <c r="A34" s="23" t="s">
        <v>138</v>
      </c>
      <c r="B34" s="27"/>
      <c r="C34" s="4">
        <v>105400</v>
      </c>
      <c r="D34"/>
      <c r="E34" s="63"/>
      <c r="F34"/>
      <c r="G34" s="61" t="e">
        <f t="shared" si="0"/>
        <v>#DIV/0!</v>
      </c>
      <c r="H34"/>
      <c r="I34"/>
      <c r="J34"/>
      <c r="K34"/>
      <c r="L34" s="97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</row>
    <row r="35" spans="1:59" x14ac:dyDescent="0.25">
      <c r="A35" s="23" t="s">
        <v>139</v>
      </c>
      <c r="B35" s="27">
        <v>2010</v>
      </c>
      <c r="C35" s="4">
        <v>935200</v>
      </c>
      <c r="D35"/>
      <c r="E35" s="63"/>
      <c r="F35"/>
      <c r="G35" s="61">
        <f t="shared" si="0"/>
        <v>465.27363184079604</v>
      </c>
      <c r="H35"/>
      <c r="I35"/>
      <c r="J35"/>
      <c r="K35"/>
      <c r="L35" s="97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</row>
    <row r="36" spans="1:59" x14ac:dyDescent="0.25">
      <c r="A36" s="23" t="s">
        <v>140</v>
      </c>
      <c r="B36" s="27"/>
      <c r="C36" s="4">
        <v>109290</v>
      </c>
      <c r="D36"/>
      <c r="E36" s="63"/>
      <c r="F36"/>
      <c r="G36" s="61" t="e">
        <f t="shared" si="0"/>
        <v>#DIV/0!</v>
      </c>
      <c r="H36"/>
      <c r="I36"/>
      <c r="J36"/>
      <c r="K36"/>
      <c r="L36" s="97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</row>
    <row r="37" spans="1:59" x14ac:dyDescent="0.25">
      <c r="A37" s="23" t="s">
        <v>141</v>
      </c>
      <c r="B37" s="27"/>
      <c r="C37" s="4">
        <v>12110</v>
      </c>
      <c r="D37"/>
      <c r="E37" s="63"/>
      <c r="F37"/>
      <c r="G37" s="61" t="e">
        <f t="shared" si="0"/>
        <v>#DIV/0!</v>
      </c>
      <c r="H37"/>
      <c r="I37"/>
      <c r="J37"/>
      <c r="K37"/>
      <c r="L37" s="9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</row>
    <row r="38" spans="1:59" x14ac:dyDescent="0.25">
      <c r="A38" s="22">
        <v>2025</v>
      </c>
      <c r="B38" s="27">
        <v>6141</v>
      </c>
      <c r="C38" s="4">
        <v>3357300</v>
      </c>
      <c r="D38"/>
      <c r="E38" s="63"/>
      <c r="F38"/>
      <c r="G38" s="60">
        <f t="shared" si="0"/>
        <v>546.70249145090372</v>
      </c>
      <c r="H38"/>
      <c r="I38"/>
      <c r="J38"/>
      <c r="K38"/>
      <c r="L38" s="97">
        <f>GETPIVOTDATA("[Measures].[Sum of Total Qty Produced]",$A$5,"[Range].[ANUALLY]","[Range].[ANUALLY].&amp;[2025]")/GETPIVOTDATA("[Measures].[Sum of Total Cost]",$A$5,"[Range].[ANUALLY]","[Range].[ANUALLY].&amp;[2025]")</f>
        <v>1.8291484228397819E-3</v>
      </c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</row>
    <row r="39" spans="1:59" x14ac:dyDescent="0.25">
      <c r="A39" s="23" t="s">
        <v>127</v>
      </c>
      <c r="B39" s="27">
        <v>1526</v>
      </c>
      <c r="C39" s="4">
        <v>814450</v>
      </c>
      <c r="D39"/>
      <c r="E39" s="63"/>
      <c r="F39"/>
      <c r="G39" s="61">
        <f t="shared" si="0"/>
        <v>533.71559633027528</v>
      </c>
      <c r="H39"/>
      <c r="I39"/>
      <c r="J39"/>
      <c r="K39"/>
      <c r="L39" s="97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</row>
    <row r="40" spans="1:59" x14ac:dyDescent="0.25">
      <c r="A40" s="23" t="s">
        <v>142</v>
      </c>
      <c r="B40" s="27"/>
      <c r="C40" s="4">
        <v>69375</v>
      </c>
      <c r="D40"/>
      <c r="E40" s="63"/>
      <c r="F40"/>
      <c r="G40" s="61" t="e">
        <f t="shared" si="0"/>
        <v>#DIV/0!</v>
      </c>
      <c r="H40"/>
      <c r="I40"/>
      <c r="J40"/>
      <c r="K40"/>
      <c r="L40" s="97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</row>
    <row r="41" spans="1:59" x14ac:dyDescent="0.25">
      <c r="A41" s="23" t="s">
        <v>143</v>
      </c>
      <c r="B41" s="27">
        <v>1656</v>
      </c>
      <c r="C41" s="4">
        <v>741250</v>
      </c>
      <c r="D41"/>
      <c r="E41" s="63"/>
      <c r="F41"/>
      <c r="G41" s="61">
        <f t="shared" si="0"/>
        <v>447.6147342995169</v>
      </c>
      <c r="H41"/>
      <c r="I41"/>
      <c r="J41"/>
      <c r="K41"/>
      <c r="L41" s="97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</row>
    <row r="42" spans="1:59" x14ac:dyDescent="0.25">
      <c r="A42" s="23" t="s">
        <v>144</v>
      </c>
      <c r="B42" s="27"/>
      <c r="C42" s="4">
        <v>23550</v>
      </c>
      <c r="D42" s="3"/>
      <c r="E42" s="63"/>
      <c r="F42" s="3"/>
      <c r="G42" s="61" t="e">
        <f t="shared" si="0"/>
        <v>#DIV/0!</v>
      </c>
      <c r="H42" s="3"/>
      <c r="I42" s="3"/>
      <c r="J42" s="3"/>
      <c r="K42" s="3"/>
      <c r="L42" s="97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59" x14ac:dyDescent="0.25">
      <c r="A43" s="23" t="s">
        <v>145</v>
      </c>
      <c r="B43" s="27"/>
      <c r="C43" s="4">
        <v>141250</v>
      </c>
      <c r="D43" s="3"/>
      <c r="E43" s="63"/>
      <c r="F43" s="3"/>
      <c r="G43" s="61" t="e">
        <f t="shared" si="0"/>
        <v>#DIV/0!</v>
      </c>
      <c r="H43" s="3"/>
      <c r="I43" s="3"/>
      <c r="J43" s="3"/>
      <c r="K43" s="3"/>
      <c r="L43" s="97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59" x14ac:dyDescent="0.25">
      <c r="A44" s="23" t="s">
        <v>146</v>
      </c>
      <c r="B44" s="27">
        <v>584</v>
      </c>
      <c r="C44" s="4">
        <v>273450</v>
      </c>
      <c r="D44" s="3"/>
      <c r="E44" s="63"/>
      <c r="F44" s="3"/>
      <c r="G44" s="61">
        <f t="shared" si="0"/>
        <v>468.23630136986299</v>
      </c>
      <c r="H44" s="3"/>
      <c r="I44" s="3"/>
      <c r="J44" s="3"/>
      <c r="K44" s="3"/>
      <c r="L44" s="97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59" x14ac:dyDescent="0.25">
      <c r="A45" s="23" t="s">
        <v>147</v>
      </c>
      <c r="B45" s="27">
        <v>2375</v>
      </c>
      <c r="C45" s="4">
        <v>1235025</v>
      </c>
      <c r="D45" s="3"/>
      <c r="E45" s="63"/>
      <c r="F45" s="3"/>
      <c r="G45" s="61">
        <f t="shared" si="0"/>
        <v>520.01052631578943</v>
      </c>
      <c r="H45" s="3"/>
      <c r="I45" s="3"/>
      <c r="J45" s="3"/>
      <c r="K45" s="3"/>
      <c r="L45" s="97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59" x14ac:dyDescent="0.25">
      <c r="A46" s="23" t="s">
        <v>137</v>
      </c>
      <c r="B46" s="27"/>
      <c r="C46" s="4">
        <v>58950</v>
      </c>
      <c r="D46" s="3"/>
      <c r="E46" s="63"/>
      <c r="F46" s="3"/>
      <c r="G46" s="61" t="e">
        <f t="shared" si="0"/>
        <v>#DIV/0!</v>
      </c>
      <c r="H46" s="3"/>
      <c r="I46" s="3"/>
      <c r="J46" s="3"/>
      <c r="K46" s="3"/>
      <c r="L46" s="97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59" x14ac:dyDescent="0.25">
      <c r="A47" s="22" t="s">
        <v>115</v>
      </c>
      <c r="B47" s="27">
        <v>45879</v>
      </c>
      <c r="C47" s="4">
        <v>15454975</v>
      </c>
      <c r="E47" s="62"/>
      <c r="F47" s="58"/>
      <c r="G47" s="64">
        <f t="shared" si="0"/>
        <v>336.86381568909525</v>
      </c>
      <c r="H47" s="59"/>
      <c r="L47" s="98"/>
    </row>
    <row r="48" spans="1:59" x14ac:dyDescent="0.25">
      <c r="A48"/>
      <c r="B48"/>
      <c r="C48"/>
    </row>
    <row r="49" spans="1:3" x14ac:dyDescent="0.25">
      <c r="A49"/>
      <c r="B49"/>
      <c r="C49"/>
    </row>
    <row r="50" spans="1:3" x14ac:dyDescent="0.25">
      <c r="A50"/>
      <c r="B50"/>
      <c r="C50"/>
    </row>
    <row r="51" spans="1:3" x14ac:dyDescent="0.25">
      <c r="A51"/>
      <c r="B51"/>
      <c r="C51"/>
    </row>
    <row r="52" spans="1:3" x14ac:dyDescent="0.25">
      <c r="A52"/>
      <c r="B52"/>
      <c r="C52"/>
    </row>
    <row r="53" spans="1:3" x14ac:dyDescent="0.25">
      <c r="A53"/>
      <c r="B53"/>
      <c r="C53"/>
    </row>
    <row r="54" spans="1:3" x14ac:dyDescent="0.25">
      <c r="A54"/>
      <c r="B54"/>
      <c r="C54"/>
    </row>
    <row r="55" spans="1:3" x14ac:dyDescent="0.25">
      <c r="A55"/>
      <c r="B55"/>
      <c r="C55"/>
    </row>
    <row r="56" spans="1:3" x14ac:dyDescent="0.25">
      <c r="A56"/>
      <c r="B56"/>
      <c r="C56"/>
    </row>
    <row r="57" spans="1:3" x14ac:dyDescent="0.25">
      <c r="A57"/>
      <c r="B57"/>
      <c r="C57"/>
    </row>
    <row r="58" spans="1:3" x14ac:dyDescent="0.25">
      <c r="A58"/>
      <c r="B58"/>
      <c r="C58"/>
    </row>
    <row r="59" spans="1:3" x14ac:dyDescent="0.25">
      <c r="A59"/>
      <c r="B59"/>
      <c r="C59"/>
    </row>
    <row r="60" spans="1:3" x14ac:dyDescent="0.25">
      <c r="A60"/>
      <c r="B60"/>
      <c r="C60"/>
    </row>
    <row r="61" spans="1:3" x14ac:dyDescent="0.25">
      <c r="A61"/>
      <c r="B61"/>
      <c r="C61"/>
    </row>
    <row r="62" spans="1:3" x14ac:dyDescent="0.25">
      <c r="A62"/>
      <c r="B62"/>
      <c r="C62"/>
    </row>
    <row r="63" spans="1:3" x14ac:dyDescent="0.25">
      <c r="A63"/>
      <c r="B63"/>
      <c r="C63"/>
    </row>
    <row r="64" spans="1:3" x14ac:dyDescent="0.25">
      <c r="A64"/>
      <c r="B64"/>
      <c r="C64"/>
    </row>
    <row r="65" spans="1:3" x14ac:dyDescent="0.25">
      <c r="A65"/>
      <c r="B65"/>
      <c r="C65"/>
    </row>
    <row r="66" spans="1:3" x14ac:dyDescent="0.25">
      <c r="A66"/>
      <c r="B66"/>
      <c r="C66"/>
    </row>
    <row r="67" spans="1:3" x14ac:dyDescent="0.25">
      <c r="A67"/>
      <c r="B67"/>
      <c r="C67"/>
    </row>
    <row r="68" spans="1:3" x14ac:dyDescent="0.25">
      <c r="A68"/>
      <c r="B68"/>
      <c r="C68"/>
    </row>
    <row r="69" spans="1:3" x14ac:dyDescent="0.25">
      <c r="A69"/>
      <c r="B69"/>
      <c r="C69"/>
    </row>
    <row r="70" spans="1:3" x14ac:dyDescent="0.25">
      <c r="A70"/>
      <c r="B70"/>
      <c r="C70"/>
    </row>
    <row r="71" spans="1:3" x14ac:dyDescent="0.25">
      <c r="A71"/>
      <c r="B71"/>
      <c r="C71"/>
    </row>
    <row r="72" spans="1:3" x14ac:dyDescent="0.25">
      <c r="A72"/>
      <c r="B72"/>
      <c r="C72"/>
    </row>
    <row r="73" spans="1:3" x14ac:dyDescent="0.25">
      <c r="A73"/>
      <c r="B73"/>
      <c r="C73"/>
    </row>
    <row r="74" spans="1:3" x14ac:dyDescent="0.25">
      <c r="A74"/>
      <c r="B74"/>
      <c r="C74"/>
    </row>
    <row r="75" spans="1:3" x14ac:dyDescent="0.25">
      <c r="A75"/>
      <c r="B75"/>
      <c r="C75"/>
    </row>
    <row r="76" spans="1:3" x14ac:dyDescent="0.25">
      <c r="A76"/>
      <c r="B76"/>
      <c r="C76"/>
    </row>
    <row r="77" spans="1:3" x14ac:dyDescent="0.25">
      <c r="A77"/>
      <c r="B77"/>
      <c r="C77"/>
    </row>
    <row r="78" spans="1:3" x14ac:dyDescent="0.25">
      <c r="A78"/>
      <c r="B78"/>
      <c r="C78"/>
    </row>
    <row r="79" spans="1:3" x14ac:dyDescent="0.25">
      <c r="A79"/>
      <c r="B79"/>
      <c r="C79"/>
    </row>
    <row r="80" spans="1:3" x14ac:dyDescent="0.25">
      <c r="A80"/>
      <c r="B80"/>
      <c r="C80"/>
    </row>
    <row r="81" spans="1:3" x14ac:dyDescent="0.25">
      <c r="A81"/>
      <c r="B81"/>
      <c r="C81"/>
    </row>
    <row r="82" spans="1:3" x14ac:dyDescent="0.25">
      <c r="A82"/>
      <c r="B82"/>
      <c r="C82"/>
    </row>
    <row r="83" spans="1:3" x14ac:dyDescent="0.25">
      <c r="A83"/>
      <c r="B83"/>
      <c r="C8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04"/>
  <sheetViews>
    <sheetView topLeftCell="A59" workbookViewId="0">
      <selection activeCell="C12" sqref="C12"/>
    </sheetView>
  </sheetViews>
  <sheetFormatPr defaultRowHeight="15" x14ac:dyDescent="0.25"/>
  <cols>
    <col min="1" max="1" width="13.140625" customWidth="1"/>
    <col min="2" max="2" width="16.42578125" style="2" customWidth="1"/>
    <col min="3" max="3" width="16.28515625" style="2" customWidth="1"/>
    <col min="4" max="4" width="19.140625" style="2" customWidth="1"/>
    <col min="5" max="5" width="25.85546875" style="2" customWidth="1"/>
    <col min="6" max="6" width="15.85546875" style="2" customWidth="1"/>
    <col min="7" max="8" width="19.5703125" style="2" customWidth="1"/>
    <col min="9" max="16" width="7" customWidth="1"/>
    <col min="17" max="17" width="8" customWidth="1"/>
    <col min="18" max="23" width="7" customWidth="1"/>
    <col min="24" max="24" width="8" customWidth="1"/>
    <col min="25" max="26" width="7" customWidth="1"/>
    <col min="27" max="28" width="8" customWidth="1"/>
    <col min="29" max="29" width="7.28515625" customWidth="1"/>
    <col min="30" max="30" width="16.28515625" customWidth="1"/>
    <col min="31" max="32" width="8.140625" customWidth="1"/>
    <col min="33" max="33" width="7.7109375" customWidth="1"/>
    <col min="34" max="57" width="8.140625" customWidth="1"/>
    <col min="58" max="58" width="19.140625" customWidth="1"/>
    <col min="59" max="84" width="8.140625" customWidth="1"/>
    <col min="85" max="85" width="7.7109375" customWidth="1"/>
    <col min="86" max="86" width="25.85546875" customWidth="1"/>
    <col min="87" max="112" width="8.140625" customWidth="1"/>
    <col min="113" max="113" width="7.7109375" customWidth="1"/>
    <col min="114" max="114" width="15.85546875" customWidth="1"/>
    <col min="115" max="140" width="8.140625" customWidth="1"/>
    <col min="141" max="141" width="7.7109375" customWidth="1"/>
    <col min="142" max="142" width="19.5703125" customWidth="1"/>
    <col min="143" max="143" width="8.140625" customWidth="1"/>
    <col min="144" max="144" width="7.7109375" customWidth="1"/>
    <col min="145" max="145" width="8.140625" customWidth="1"/>
    <col min="146" max="150" width="7.7109375" customWidth="1"/>
    <col min="151" max="151" width="8.140625" customWidth="1"/>
    <col min="152" max="152" width="7.7109375" customWidth="1"/>
    <col min="153" max="153" width="8.140625" customWidth="1"/>
    <col min="154" max="154" width="7.7109375" customWidth="1"/>
    <col min="155" max="155" width="8.140625" customWidth="1"/>
    <col min="156" max="156" width="7.7109375" customWidth="1"/>
    <col min="157" max="157" width="8.140625" customWidth="1"/>
    <col min="158" max="159" width="7.7109375" customWidth="1"/>
    <col min="160" max="162" width="8.140625" customWidth="1"/>
    <col min="163" max="163" width="7.7109375" customWidth="1"/>
    <col min="164" max="169" width="8.140625" customWidth="1"/>
    <col min="170" max="170" width="19.5703125" customWidth="1"/>
    <col min="171" max="182" width="8.140625" customWidth="1"/>
    <col min="183" max="183" width="7.7109375" customWidth="1"/>
    <col min="184" max="185" width="8.140625" customWidth="1"/>
    <col min="186" max="186" width="7.7109375" customWidth="1"/>
    <col min="187" max="197" width="8.140625" customWidth="1"/>
    <col min="198" max="198" width="21.5703125" customWidth="1"/>
    <col min="199" max="199" width="21.42578125" bestFit="1" customWidth="1"/>
    <col min="200" max="200" width="24.140625" bestFit="1" customWidth="1"/>
    <col min="201" max="201" width="30.85546875" bestFit="1" customWidth="1"/>
    <col min="202" max="202" width="20.85546875" customWidth="1"/>
    <col min="203" max="203" width="24.5703125" bestFit="1" customWidth="1"/>
    <col min="204" max="204" width="24.5703125" customWidth="1"/>
    <col min="205" max="205" width="20.5703125" bestFit="1" customWidth="1"/>
    <col min="206" max="206" width="16.28515625" bestFit="1" customWidth="1"/>
    <col min="207" max="208" width="21" bestFit="1" customWidth="1"/>
    <col min="209" max="209" width="17.42578125" bestFit="1" customWidth="1"/>
    <col min="210" max="210" width="27.28515625" bestFit="1" customWidth="1"/>
    <col min="211" max="211" width="20.5703125" bestFit="1" customWidth="1"/>
    <col min="212" max="212" width="16.28515625" bestFit="1" customWidth="1"/>
    <col min="213" max="214" width="21" bestFit="1" customWidth="1"/>
    <col min="215" max="215" width="17.42578125" bestFit="1" customWidth="1"/>
    <col min="216" max="216" width="27.28515625" bestFit="1" customWidth="1"/>
    <col min="217" max="217" width="20.5703125" bestFit="1" customWidth="1"/>
    <col min="218" max="218" width="16.28515625" bestFit="1" customWidth="1"/>
    <col min="219" max="220" width="21" bestFit="1" customWidth="1"/>
    <col min="221" max="221" width="17.42578125" bestFit="1" customWidth="1"/>
    <col min="222" max="222" width="27.28515625" bestFit="1" customWidth="1"/>
    <col min="223" max="223" width="20.5703125" bestFit="1" customWidth="1"/>
    <col min="224" max="224" width="21.42578125" bestFit="1" customWidth="1"/>
    <col min="225" max="226" width="26.140625" bestFit="1" customWidth="1"/>
    <col min="227" max="227" width="22.42578125" bestFit="1" customWidth="1"/>
    <col min="228" max="228" width="32.28515625" bestFit="1" customWidth="1"/>
    <col min="229" max="229" width="25.7109375" bestFit="1" customWidth="1"/>
  </cols>
  <sheetData>
    <row r="3" spans="1:8" x14ac:dyDescent="0.25">
      <c r="A3" s="21" t="s">
        <v>114</v>
      </c>
      <c r="B3" s="2" t="s">
        <v>158</v>
      </c>
      <c r="C3" t="s">
        <v>165</v>
      </c>
      <c r="D3" s="2" t="s">
        <v>163</v>
      </c>
      <c r="E3" s="2" t="s">
        <v>164</v>
      </c>
      <c r="F3" s="2" t="s">
        <v>167</v>
      </c>
      <c r="G3" s="2" t="s">
        <v>166</v>
      </c>
      <c r="H3" s="2" t="s">
        <v>162</v>
      </c>
    </row>
    <row r="4" spans="1:8" x14ac:dyDescent="0.25">
      <c r="A4" s="43">
        <v>2021</v>
      </c>
      <c r="B4" s="2">
        <v>276125</v>
      </c>
      <c r="C4" s="2">
        <v>90000</v>
      </c>
      <c r="D4" s="2">
        <v>140000</v>
      </c>
      <c r="E4" s="2">
        <v>42000</v>
      </c>
      <c r="F4" s="2">
        <v>4125</v>
      </c>
    </row>
    <row r="5" spans="1:8" x14ac:dyDescent="0.25">
      <c r="A5" s="44">
        <v>44531</v>
      </c>
      <c r="B5" s="2">
        <v>276125</v>
      </c>
      <c r="C5" s="2">
        <v>90000</v>
      </c>
      <c r="D5" s="2">
        <v>140000</v>
      </c>
      <c r="E5" s="2">
        <v>42000</v>
      </c>
      <c r="F5" s="2">
        <v>4125</v>
      </c>
    </row>
    <row r="6" spans="1:8" x14ac:dyDescent="0.25">
      <c r="A6" s="43">
        <v>2022</v>
      </c>
      <c r="B6" s="2">
        <v>5092800</v>
      </c>
      <c r="C6" s="2">
        <v>1857500</v>
      </c>
      <c r="D6" s="2">
        <v>1608150</v>
      </c>
      <c r="E6" s="2">
        <v>568400</v>
      </c>
      <c r="F6" s="2">
        <v>53400</v>
      </c>
      <c r="G6" s="2">
        <v>90400</v>
      </c>
      <c r="H6" s="2">
        <v>914950</v>
      </c>
    </row>
    <row r="7" spans="1:8" x14ac:dyDescent="0.25">
      <c r="A7" s="44">
        <v>44562</v>
      </c>
      <c r="B7" s="2">
        <v>63700</v>
      </c>
      <c r="H7" s="2">
        <v>63700</v>
      </c>
    </row>
    <row r="8" spans="1:8" x14ac:dyDescent="0.25">
      <c r="A8" s="44">
        <v>44593</v>
      </c>
      <c r="B8" s="2">
        <v>472150</v>
      </c>
      <c r="C8" s="2">
        <v>147500</v>
      </c>
      <c r="D8" s="2">
        <v>189000</v>
      </c>
      <c r="E8" s="2">
        <v>67500</v>
      </c>
      <c r="F8" s="2">
        <v>4000</v>
      </c>
      <c r="H8" s="2">
        <v>64150</v>
      </c>
    </row>
    <row r="9" spans="1:8" x14ac:dyDescent="0.25">
      <c r="A9" s="44">
        <v>44621</v>
      </c>
      <c r="B9" s="2">
        <v>255900</v>
      </c>
      <c r="C9" s="2">
        <v>70000</v>
      </c>
      <c r="D9" s="2">
        <v>119400</v>
      </c>
      <c r="E9" s="2">
        <v>22400</v>
      </c>
      <c r="F9" s="2">
        <v>4000</v>
      </c>
      <c r="H9" s="2">
        <v>40100</v>
      </c>
    </row>
    <row r="10" spans="1:8" x14ac:dyDescent="0.25">
      <c r="A10" s="44">
        <v>44652</v>
      </c>
      <c r="B10" s="2">
        <v>340400</v>
      </c>
      <c r="C10" s="2">
        <v>120000</v>
      </c>
      <c r="D10" s="2">
        <v>90000</v>
      </c>
      <c r="E10" s="2">
        <v>48000</v>
      </c>
      <c r="F10" s="2">
        <v>4400</v>
      </c>
      <c r="H10" s="2">
        <v>78000</v>
      </c>
    </row>
    <row r="11" spans="1:8" x14ac:dyDescent="0.25">
      <c r="A11" s="44">
        <v>44682</v>
      </c>
      <c r="B11" s="2">
        <v>115800</v>
      </c>
      <c r="C11" s="2">
        <v>40000</v>
      </c>
      <c r="D11" s="2">
        <v>40000</v>
      </c>
      <c r="E11" s="2">
        <v>15000</v>
      </c>
      <c r="F11" s="2">
        <v>2000</v>
      </c>
      <c r="H11" s="2">
        <v>18800</v>
      </c>
    </row>
    <row r="12" spans="1:8" x14ac:dyDescent="0.25">
      <c r="A12" s="44">
        <v>44713</v>
      </c>
      <c r="B12" s="2">
        <v>261800</v>
      </c>
      <c r="C12" s="2">
        <v>120000</v>
      </c>
      <c r="D12" s="2">
        <v>82000</v>
      </c>
      <c r="E12" s="2">
        <v>22500</v>
      </c>
      <c r="F12" s="2">
        <v>2000</v>
      </c>
      <c r="H12" s="2">
        <v>35300</v>
      </c>
    </row>
    <row r="13" spans="1:8" x14ac:dyDescent="0.25">
      <c r="A13" s="44">
        <v>44743</v>
      </c>
      <c r="B13" s="2">
        <v>142700</v>
      </c>
      <c r="C13" s="2">
        <v>50000</v>
      </c>
      <c r="D13" s="2">
        <v>45700</v>
      </c>
      <c r="E13" s="2">
        <v>15000</v>
      </c>
      <c r="F13" s="2">
        <v>2000</v>
      </c>
      <c r="H13" s="2">
        <v>30000</v>
      </c>
    </row>
    <row r="14" spans="1:8" x14ac:dyDescent="0.25">
      <c r="A14" s="44">
        <v>44774</v>
      </c>
      <c r="B14" s="2">
        <v>1295200</v>
      </c>
      <c r="C14" s="2">
        <v>500000</v>
      </c>
      <c r="D14" s="2">
        <v>348300</v>
      </c>
      <c r="E14" s="2">
        <v>129000</v>
      </c>
      <c r="F14" s="2">
        <v>10000</v>
      </c>
      <c r="G14" s="2">
        <v>77900</v>
      </c>
      <c r="H14" s="2">
        <v>230000</v>
      </c>
    </row>
    <row r="15" spans="1:8" x14ac:dyDescent="0.25">
      <c r="A15" s="44">
        <v>44805</v>
      </c>
      <c r="B15" s="2">
        <v>444350</v>
      </c>
      <c r="C15" s="2">
        <v>100000</v>
      </c>
      <c r="D15" s="2">
        <v>214650</v>
      </c>
      <c r="E15" s="2">
        <v>72000</v>
      </c>
      <c r="F15" s="2">
        <v>8000</v>
      </c>
      <c r="G15" s="2">
        <v>2000</v>
      </c>
      <c r="H15" s="2">
        <v>47700</v>
      </c>
    </row>
    <row r="16" spans="1:8" x14ac:dyDescent="0.25">
      <c r="A16" s="44">
        <v>44835</v>
      </c>
      <c r="B16" s="2">
        <v>1017500</v>
      </c>
      <c r="C16" s="2">
        <v>435000</v>
      </c>
      <c r="D16" s="2">
        <v>283500</v>
      </c>
      <c r="E16" s="2">
        <v>112500</v>
      </c>
      <c r="F16" s="2">
        <v>8000</v>
      </c>
      <c r="G16" s="2">
        <v>5500</v>
      </c>
      <c r="H16" s="2">
        <v>173000</v>
      </c>
    </row>
    <row r="17" spans="1:8" x14ac:dyDescent="0.25">
      <c r="A17" s="44">
        <v>44866</v>
      </c>
      <c r="B17" s="2">
        <v>172000</v>
      </c>
      <c r="C17" s="2">
        <v>50000</v>
      </c>
      <c r="D17" s="2">
        <v>40500</v>
      </c>
      <c r="E17" s="2">
        <v>15000</v>
      </c>
      <c r="F17" s="2">
        <v>4000</v>
      </c>
      <c r="G17" s="2">
        <v>5000</v>
      </c>
      <c r="H17" s="2">
        <v>57500</v>
      </c>
    </row>
    <row r="18" spans="1:8" x14ac:dyDescent="0.25">
      <c r="A18" s="44">
        <v>44896</v>
      </c>
      <c r="B18" s="2">
        <v>511300</v>
      </c>
      <c r="C18" s="2">
        <v>225000</v>
      </c>
      <c r="D18" s="2">
        <v>155100</v>
      </c>
      <c r="E18" s="2">
        <v>49500</v>
      </c>
      <c r="F18" s="2">
        <v>5000</v>
      </c>
      <c r="H18" s="2">
        <v>76700</v>
      </c>
    </row>
    <row r="19" spans="1:8" x14ac:dyDescent="0.25">
      <c r="A19" s="43">
        <v>2023</v>
      </c>
      <c r="B19" s="2">
        <v>5566750</v>
      </c>
      <c r="C19" s="2">
        <v>2147500</v>
      </c>
      <c r="D19" s="2">
        <v>1816750</v>
      </c>
      <c r="E19" s="2">
        <v>616300</v>
      </c>
      <c r="F19" s="2">
        <v>86180</v>
      </c>
      <c r="G19" s="2">
        <v>52700</v>
      </c>
      <c r="H19" s="2">
        <v>847320</v>
      </c>
    </row>
    <row r="20" spans="1:8" x14ac:dyDescent="0.25">
      <c r="A20" s="44">
        <v>44927</v>
      </c>
      <c r="B20" s="2">
        <v>258900</v>
      </c>
      <c r="C20" s="2">
        <v>87500</v>
      </c>
      <c r="D20" s="2">
        <v>86400</v>
      </c>
      <c r="E20" s="2">
        <v>24000</v>
      </c>
      <c r="F20" s="2">
        <v>4000</v>
      </c>
      <c r="H20" s="2">
        <v>57000</v>
      </c>
    </row>
    <row r="21" spans="1:8" x14ac:dyDescent="0.25">
      <c r="A21" s="44">
        <v>44958</v>
      </c>
    </row>
    <row r="22" spans="1:8" x14ac:dyDescent="0.25">
      <c r="A22" s="44">
        <v>44986</v>
      </c>
      <c r="B22" s="2">
        <v>568960</v>
      </c>
      <c r="C22" s="2">
        <v>187500</v>
      </c>
      <c r="D22" s="2">
        <v>209000</v>
      </c>
      <c r="E22" s="2">
        <v>66000</v>
      </c>
      <c r="F22" s="2">
        <v>7500</v>
      </c>
      <c r="G22" s="2">
        <v>2000</v>
      </c>
      <c r="H22" s="2">
        <v>96960</v>
      </c>
    </row>
    <row r="23" spans="1:8" x14ac:dyDescent="0.25">
      <c r="A23" s="44">
        <v>45017</v>
      </c>
      <c r="B23" s="2">
        <v>877290</v>
      </c>
      <c r="C23" s="2">
        <v>362500</v>
      </c>
      <c r="D23" s="2">
        <v>328900</v>
      </c>
      <c r="E23" s="2">
        <v>120000</v>
      </c>
      <c r="F23" s="2">
        <v>11030</v>
      </c>
      <c r="G23" s="2">
        <v>2000</v>
      </c>
      <c r="H23" s="2">
        <v>52860</v>
      </c>
    </row>
    <row r="24" spans="1:8" x14ac:dyDescent="0.25">
      <c r="A24" s="44">
        <v>45047</v>
      </c>
      <c r="B24" s="2">
        <v>179420</v>
      </c>
      <c r="C24" s="2">
        <v>37500</v>
      </c>
      <c r="D24" s="2">
        <v>32900</v>
      </c>
      <c r="E24" s="2">
        <v>9000</v>
      </c>
      <c r="F24" s="2">
        <v>1500</v>
      </c>
      <c r="H24" s="2">
        <v>98520</v>
      </c>
    </row>
    <row r="25" spans="1:8" x14ac:dyDescent="0.25">
      <c r="A25" s="44">
        <v>45078</v>
      </c>
      <c r="B25" s="2">
        <v>442200</v>
      </c>
      <c r="C25" s="2">
        <v>212500</v>
      </c>
      <c r="D25" s="2">
        <v>145500</v>
      </c>
      <c r="E25" s="2">
        <v>30000</v>
      </c>
      <c r="F25" s="2">
        <v>2000</v>
      </c>
      <c r="H25" s="2">
        <v>52200</v>
      </c>
    </row>
    <row r="26" spans="1:8" x14ac:dyDescent="0.25">
      <c r="A26" s="44">
        <v>45108</v>
      </c>
      <c r="B26" s="2">
        <v>360670</v>
      </c>
      <c r="C26" s="2">
        <v>137500</v>
      </c>
      <c r="D26" s="2">
        <v>135300</v>
      </c>
      <c r="E26" s="2">
        <v>32000</v>
      </c>
      <c r="F26" s="2">
        <v>7470</v>
      </c>
      <c r="G26" s="2">
        <v>20200</v>
      </c>
      <c r="H26" s="2">
        <v>28200</v>
      </c>
    </row>
    <row r="27" spans="1:8" x14ac:dyDescent="0.25">
      <c r="A27" s="44">
        <v>45139</v>
      </c>
      <c r="B27" s="2">
        <v>275580</v>
      </c>
      <c r="C27" s="2">
        <v>125000</v>
      </c>
      <c r="D27" s="2">
        <v>87200</v>
      </c>
      <c r="E27" s="2">
        <v>33500</v>
      </c>
      <c r="F27" s="2">
        <v>3480</v>
      </c>
      <c r="H27" s="2">
        <v>26400</v>
      </c>
    </row>
    <row r="28" spans="1:8" x14ac:dyDescent="0.25">
      <c r="A28" s="44">
        <v>45170</v>
      </c>
      <c r="B28" s="2">
        <v>690830</v>
      </c>
      <c r="C28" s="2">
        <v>237500</v>
      </c>
      <c r="D28" s="2">
        <v>230050</v>
      </c>
      <c r="E28" s="2">
        <v>74800</v>
      </c>
      <c r="F28" s="2">
        <v>12800</v>
      </c>
      <c r="G28" s="2">
        <v>20000</v>
      </c>
      <c r="H28" s="2">
        <v>115680</v>
      </c>
    </row>
    <row r="29" spans="1:8" x14ac:dyDescent="0.25">
      <c r="A29" s="44">
        <v>45200</v>
      </c>
      <c r="B29" s="2">
        <v>971030</v>
      </c>
      <c r="C29" s="2">
        <v>360000</v>
      </c>
      <c r="D29" s="2">
        <v>283550</v>
      </c>
      <c r="E29" s="2">
        <v>138600</v>
      </c>
      <c r="F29" s="2">
        <v>15600</v>
      </c>
      <c r="G29" s="2">
        <v>3000</v>
      </c>
      <c r="H29" s="2">
        <v>170280</v>
      </c>
    </row>
    <row r="30" spans="1:8" x14ac:dyDescent="0.25">
      <c r="A30" s="44">
        <v>45231</v>
      </c>
      <c r="B30" s="2">
        <v>295620</v>
      </c>
      <c r="C30" s="2">
        <v>100000</v>
      </c>
      <c r="D30" s="2">
        <v>98100</v>
      </c>
      <c r="E30" s="2">
        <v>32300</v>
      </c>
      <c r="F30" s="2">
        <v>4800</v>
      </c>
      <c r="G30" s="2">
        <v>1500</v>
      </c>
      <c r="H30" s="2">
        <v>58920</v>
      </c>
    </row>
    <row r="31" spans="1:8" x14ac:dyDescent="0.25">
      <c r="A31" s="44">
        <v>45261</v>
      </c>
      <c r="B31" s="2">
        <v>646250</v>
      </c>
      <c r="C31" s="2">
        <v>300000</v>
      </c>
      <c r="D31" s="2">
        <v>179850</v>
      </c>
      <c r="E31" s="2">
        <v>56100</v>
      </c>
      <c r="F31" s="2">
        <v>16000</v>
      </c>
      <c r="G31" s="2">
        <v>4000</v>
      </c>
      <c r="H31" s="2">
        <v>90300</v>
      </c>
    </row>
    <row r="32" spans="1:8" x14ac:dyDescent="0.25">
      <c r="A32" s="43">
        <v>2024</v>
      </c>
      <c r="B32" s="2">
        <v>1162000</v>
      </c>
      <c r="C32" s="2">
        <v>400000</v>
      </c>
      <c r="D32" s="2">
        <v>435800</v>
      </c>
      <c r="E32" s="2">
        <v>78000</v>
      </c>
      <c r="F32" s="2">
        <v>10000</v>
      </c>
      <c r="G32" s="2">
        <v>10000</v>
      </c>
      <c r="H32" s="2">
        <v>229320</v>
      </c>
    </row>
    <row r="33" spans="1:8" x14ac:dyDescent="0.25">
      <c r="A33" s="44">
        <v>45292</v>
      </c>
      <c r="B33" s="2">
        <v>105400</v>
      </c>
      <c r="C33" s="2">
        <v>45000</v>
      </c>
      <c r="G33" s="2">
        <v>10000</v>
      </c>
      <c r="H33" s="2">
        <v>50400</v>
      </c>
    </row>
    <row r="34" spans="1:8" x14ac:dyDescent="0.25">
      <c r="A34" s="44">
        <v>45323</v>
      </c>
      <c r="B34" s="2">
        <v>935200</v>
      </c>
      <c r="C34" s="2">
        <v>270000</v>
      </c>
      <c r="D34" s="2">
        <v>435800</v>
      </c>
      <c r="E34" s="2">
        <v>78000</v>
      </c>
      <c r="F34" s="2">
        <v>10000</v>
      </c>
      <c r="H34" s="2">
        <v>141400</v>
      </c>
    </row>
    <row r="35" spans="1:8" x14ac:dyDescent="0.25">
      <c r="A35" s="44">
        <v>45352</v>
      </c>
      <c r="B35" s="2">
        <v>109290</v>
      </c>
      <c r="C35" s="2">
        <v>85000</v>
      </c>
      <c r="H35" s="2">
        <v>24290</v>
      </c>
    </row>
    <row r="36" spans="1:8" x14ac:dyDescent="0.25">
      <c r="A36" s="44">
        <v>45383</v>
      </c>
      <c r="B36" s="2">
        <v>12110</v>
      </c>
      <c r="H36" s="2">
        <v>12110</v>
      </c>
    </row>
    <row r="37" spans="1:8" x14ac:dyDescent="0.25">
      <c r="A37" s="44">
        <v>45413</v>
      </c>
    </row>
    <row r="38" spans="1:8" x14ac:dyDescent="0.25">
      <c r="A38" s="44">
        <v>45444</v>
      </c>
      <c r="H38" s="2">
        <v>1120</v>
      </c>
    </row>
    <row r="39" spans="1:8" x14ac:dyDescent="0.25">
      <c r="A39" s="44">
        <v>45474</v>
      </c>
    </row>
    <row r="40" spans="1:8" x14ac:dyDescent="0.25">
      <c r="A40" s="44">
        <v>45505</v>
      </c>
    </row>
    <row r="41" spans="1:8" x14ac:dyDescent="0.25">
      <c r="A41" s="44">
        <v>45536</v>
      </c>
    </row>
    <row r="42" spans="1:8" x14ac:dyDescent="0.25">
      <c r="A42" s="44">
        <v>45566</v>
      </c>
    </row>
    <row r="43" spans="1:8" x14ac:dyDescent="0.25">
      <c r="A43" s="44">
        <v>45597</v>
      </c>
    </row>
    <row r="44" spans="1:8" x14ac:dyDescent="0.25">
      <c r="A44" s="44">
        <v>45627</v>
      </c>
    </row>
    <row r="45" spans="1:8" x14ac:dyDescent="0.25">
      <c r="A45" s="43">
        <v>2025</v>
      </c>
      <c r="B45" s="2">
        <v>3357300</v>
      </c>
      <c r="C45" s="2">
        <v>1010000</v>
      </c>
      <c r="D45" s="2">
        <v>1157100</v>
      </c>
      <c r="E45" s="2">
        <v>351000</v>
      </c>
      <c r="F45" s="2">
        <v>84750</v>
      </c>
      <c r="G45" s="2">
        <v>381700</v>
      </c>
      <c r="H45" s="2">
        <v>372750</v>
      </c>
    </row>
    <row r="46" spans="1:8" x14ac:dyDescent="0.25">
      <c r="A46" s="44">
        <v>45658</v>
      </c>
    </row>
    <row r="47" spans="1:8" x14ac:dyDescent="0.25">
      <c r="A47" s="44">
        <v>45689</v>
      </c>
    </row>
    <row r="48" spans="1:8" x14ac:dyDescent="0.25">
      <c r="A48" s="44">
        <v>45717</v>
      </c>
    </row>
    <row r="49" spans="1:8" x14ac:dyDescent="0.25">
      <c r="A49" s="44">
        <v>45748</v>
      </c>
    </row>
    <row r="50" spans="1:8" x14ac:dyDescent="0.25">
      <c r="A50" s="44">
        <v>45778</v>
      </c>
      <c r="B50" s="2">
        <v>814450</v>
      </c>
      <c r="C50" s="2">
        <v>100000</v>
      </c>
      <c r="D50" s="2">
        <v>367500</v>
      </c>
      <c r="E50" s="2">
        <v>87000</v>
      </c>
      <c r="F50" s="2">
        <v>22250</v>
      </c>
      <c r="G50" s="2">
        <v>237700</v>
      </c>
    </row>
    <row r="51" spans="1:8" x14ac:dyDescent="0.25">
      <c r="A51" s="44">
        <v>45809</v>
      </c>
      <c r="B51" s="2">
        <v>69375</v>
      </c>
      <c r="H51" s="2">
        <v>69375</v>
      </c>
    </row>
    <row r="52" spans="1:8" x14ac:dyDescent="0.25">
      <c r="A52" s="44">
        <v>45839</v>
      </c>
      <c r="B52" s="2">
        <v>741250</v>
      </c>
      <c r="C52" s="2">
        <v>300000</v>
      </c>
      <c r="D52" s="2">
        <v>265500</v>
      </c>
      <c r="E52" s="2">
        <v>92000</v>
      </c>
      <c r="F52" s="2">
        <v>20000</v>
      </c>
      <c r="H52" s="2">
        <v>63750</v>
      </c>
    </row>
    <row r="53" spans="1:8" x14ac:dyDescent="0.25">
      <c r="A53" s="44">
        <v>45870</v>
      </c>
      <c r="B53" s="2">
        <v>23550</v>
      </c>
      <c r="H53" s="2">
        <v>23550</v>
      </c>
    </row>
    <row r="54" spans="1:8" s="41" customFormat="1" x14ac:dyDescent="0.25">
      <c r="A54" s="44">
        <v>45901</v>
      </c>
      <c r="B54" s="2">
        <v>141250</v>
      </c>
      <c r="C54" s="2">
        <v>100000</v>
      </c>
      <c r="D54" s="2"/>
      <c r="E54" s="2"/>
      <c r="F54" s="2"/>
      <c r="G54" s="2"/>
      <c r="H54" s="2">
        <v>41250</v>
      </c>
    </row>
    <row r="55" spans="1:8" x14ac:dyDescent="0.25">
      <c r="A55" s="44">
        <v>45931</v>
      </c>
      <c r="B55" s="2">
        <v>273450</v>
      </c>
      <c r="D55" s="2">
        <v>122400</v>
      </c>
      <c r="E55" s="2">
        <v>30000</v>
      </c>
      <c r="F55" s="2">
        <v>10000</v>
      </c>
      <c r="G55" s="2">
        <v>80000</v>
      </c>
      <c r="H55" s="2">
        <v>31050</v>
      </c>
    </row>
    <row r="56" spans="1:8" x14ac:dyDescent="0.25">
      <c r="A56" s="44">
        <v>45962</v>
      </c>
      <c r="B56" s="2">
        <v>1235025</v>
      </c>
      <c r="C56" s="2">
        <v>510000</v>
      </c>
      <c r="D56" s="2">
        <v>401700</v>
      </c>
      <c r="E56" s="2">
        <v>142000</v>
      </c>
      <c r="F56" s="2">
        <v>32500</v>
      </c>
      <c r="G56" s="2">
        <v>64000</v>
      </c>
      <c r="H56" s="2">
        <v>84825</v>
      </c>
    </row>
    <row r="57" spans="1:8" x14ac:dyDescent="0.25">
      <c r="A57" s="44">
        <v>45992</v>
      </c>
      <c r="B57" s="2">
        <v>58950</v>
      </c>
      <c r="H57" s="2">
        <v>58950</v>
      </c>
    </row>
    <row r="58" spans="1:8" x14ac:dyDescent="0.25">
      <c r="A58" s="43" t="s">
        <v>115</v>
      </c>
      <c r="B58" s="2">
        <v>15454975</v>
      </c>
      <c r="C58" s="2">
        <v>5505000</v>
      </c>
      <c r="D58" s="2">
        <v>5157800</v>
      </c>
      <c r="E58" s="2">
        <v>1655700</v>
      </c>
      <c r="F58" s="2">
        <v>238455</v>
      </c>
      <c r="G58" s="2">
        <v>534800</v>
      </c>
      <c r="H58" s="2">
        <v>2364340</v>
      </c>
    </row>
    <row r="59" spans="1:8" s="47" customFormat="1" ht="45" x14ac:dyDescent="0.25">
      <c r="A59" s="50" t="s">
        <v>197</v>
      </c>
      <c r="B59" s="48">
        <f>SUM(C59:H59)</f>
        <v>1.0000724685740352</v>
      </c>
      <c r="C59" s="48">
        <f>C58/B58</f>
        <v>0.3561959821999065</v>
      </c>
      <c r="D59" s="48">
        <f>D58/B58</f>
        <v>0.33373072424898781</v>
      </c>
      <c r="E59" s="48">
        <f>E58/B58</f>
        <v>0.10713055181260403</v>
      </c>
      <c r="F59" s="48">
        <f>F58/B58</f>
        <v>1.5429012340686414E-2</v>
      </c>
      <c r="G59" s="48">
        <f>G58/B58</f>
        <v>3.4603744101818344E-2</v>
      </c>
      <c r="H59" s="48">
        <f>H58/B58</f>
        <v>0.15298245387003215</v>
      </c>
    </row>
    <row r="60" spans="1:8" x14ac:dyDescent="0.25">
      <c r="B60" s="41"/>
      <c r="C60" s="41"/>
      <c r="D60" s="41"/>
      <c r="E60" s="41"/>
      <c r="F60" s="41"/>
      <c r="G60" s="41"/>
      <c r="H60" s="41"/>
    </row>
    <row r="61" spans="1:8" s="51" customFormat="1" x14ac:dyDescent="0.25">
      <c r="A61" s="51" t="s">
        <v>189</v>
      </c>
      <c r="B61" s="52" t="s">
        <v>188</v>
      </c>
      <c r="C61" s="52" t="s">
        <v>190</v>
      </c>
      <c r="D61" s="52" t="s">
        <v>191</v>
      </c>
      <c r="E61" s="52" t="s">
        <v>192</v>
      </c>
      <c r="F61" s="52" t="s">
        <v>193</v>
      </c>
      <c r="G61" s="52" t="s">
        <v>194</v>
      </c>
      <c r="H61" s="52" t="s">
        <v>195</v>
      </c>
    </row>
    <row r="62" spans="1:8" x14ac:dyDescent="0.25">
      <c r="A62" s="45">
        <v>2021</v>
      </c>
      <c r="B62" s="41">
        <f>SUM(C62:H62)</f>
        <v>0.99999999999999989</v>
      </c>
      <c r="C62" s="41">
        <f>GETPIVOTDATA("Sum of Sand Cost",$A$3,"ANUALLY",2021)/GETPIVOTDATA("Sum of Total Cost",$A$3,"ANUALLY",2021)</f>
        <v>0.32593933906745132</v>
      </c>
      <c r="D62" s="41">
        <f>GETPIVOTDATA("Sum of Cement Cost",$A$3,"ANUALLY",2021)/GETPIVOTDATA("Sum of Total Cost",$A$3,"ANUALLY",2021)</f>
        <v>0.50701674966047983</v>
      </c>
      <c r="E62" s="41">
        <f>GETPIVOTDATA("Sum of Operators' Payment",$A$3,"ANUALLY",2021)/GETPIVOTDATA("Sum of Total Cost",$A$3,"ANUALLY",2021)</f>
        <v>0.15210502489814395</v>
      </c>
      <c r="F62" s="41">
        <f>GETPIVOTDATA("Sum of Fuel Cost",$A$3,"ANUALLY",2021)/GETPIVOTDATA("Sum of Total Cost",$A$3,"ANUALLY",2021)</f>
        <v>1.4938886373924853E-2</v>
      </c>
      <c r="G62" s="41"/>
      <c r="H62" s="41"/>
    </row>
    <row r="63" spans="1:8" x14ac:dyDescent="0.25">
      <c r="A63" s="45">
        <v>2022</v>
      </c>
      <c r="B63" s="41">
        <f t="shared" ref="B63:B66" si="0">SUM(C63:H63)</f>
        <v>1</v>
      </c>
      <c r="C63" s="41">
        <f>GETPIVOTDATA("Sum of Sand Cost",$A$3,"ANUALLY",2022)/GETPIVOTDATA("Sum of Total Cost",$A$3,"ANUALLY",2022)</f>
        <v>0.36473060006283381</v>
      </c>
      <c r="D63" s="41">
        <f>GETPIVOTDATA("Sum of Cement Cost",$A$3,"ANUALLY",2022)/GETPIVOTDATA("Sum of Total Cost",$A$3,"ANUALLY",2022)</f>
        <v>0.31576932139491048</v>
      </c>
      <c r="E63" s="41">
        <f>GETPIVOTDATA("Sum of Operators' Payment",$A$3,"ANUALLY",2022)/GETPIVOTDATA("Sum of Total Cost",$A$3,"ANUALLY",2022)</f>
        <v>0.11160854539742382</v>
      </c>
      <c r="F63" s="41">
        <f>GETPIVOTDATA("Sum of Fuel Cost",$A$3,"ANUALLY",2022)/GETPIVOTDATA("Sum of Total Cost",$A$3,"ANUALLY",2022)</f>
        <v>1.0485391140433554E-2</v>
      </c>
      <c r="G63" s="41">
        <f>GETPIVOTDATA("Sum of Maintenance",$A$3,"ANUALLY",2022)/GETPIVOTDATA("Sum of Total Cost",$A$3,"ANUALLY",2022)</f>
        <v>1.7750549795790136E-2</v>
      </c>
      <c r="H63" s="41">
        <f>GETPIVOTDATA("Sum of Delivery Cost",$A$3,"ANUALLY",2022)/GETPIVOTDATA("Sum of Total Cost",$A$3,"ANUALLY",2022)</f>
        <v>0.17965559220860824</v>
      </c>
    </row>
    <row r="64" spans="1:8" x14ac:dyDescent="0.25">
      <c r="A64" s="45">
        <v>2023</v>
      </c>
      <c r="B64" s="49">
        <f t="shared" si="0"/>
        <v>0.99999999999999989</v>
      </c>
      <c r="C64" s="46">
        <f>GETPIVOTDATA("Sum of Sand Cost",$A$3,"ANUALLY",2023)/GETPIVOTDATA("Sum of Total Cost",$A$3,"ANUALLY",2023)</f>
        <v>0.3857726680738312</v>
      </c>
      <c r="D64" s="46">
        <f>GETPIVOTDATA("Sum of Cement Cost",$A$3,"ANUALLY",2023)/GETPIVOTDATA("Sum of Total Cost",$A$3,"ANUALLY",2023)</f>
        <v>0.32635738985943324</v>
      </c>
      <c r="E64" s="41">
        <f>GETPIVOTDATA("Sum of Operators' Payment",$A$3,"ANUALLY",2023)/GETPIVOTDATA("Sum of Total Cost",$A$3,"ANUALLY",2023)</f>
        <v>0.11071091750123502</v>
      </c>
      <c r="F64" s="41">
        <f>GETPIVOTDATA("Sum of Fuel Cost",$A$3,"ANUALLY",2023)/GETPIVOTDATA("Sum of Total Cost",$A$3,"ANUALLY",2023)</f>
        <v>1.5481205371177078E-2</v>
      </c>
      <c r="G64" s="41">
        <f>GETPIVOTDATA("Sum of Maintenance",$A$3,"ANUALLY",2023)/GETPIVOTDATA("Sum of Total Cost",$A$3,"ANUALLY",2023)</f>
        <v>9.4669241478420978E-3</v>
      </c>
      <c r="H64" s="41">
        <f>GETPIVOTDATA("Sum of Delivery Cost",$A$3,"ANUALLY",2023)/GETPIVOTDATA("Sum of Total Cost",$A$3,"ANUALLY",2023)</f>
        <v>0.15221089504648133</v>
      </c>
    </row>
    <row r="65" spans="1:8" x14ac:dyDescent="0.25">
      <c r="A65" s="45">
        <v>2024</v>
      </c>
      <c r="B65" s="41">
        <f t="shared" si="0"/>
        <v>1.0009638554216866</v>
      </c>
      <c r="C65" s="41">
        <f>GETPIVOTDATA("Sum of Sand Cost",$A$3,"ANUALLY",2024)/GETPIVOTDATA("Sum of Total Cost",$A$3,"ANUALLY",2024)</f>
        <v>0.34423407917383819</v>
      </c>
      <c r="D65" s="41">
        <f>GETPIVOTDATA("Sum of Cement Cost",$A$3,"ANUALLY",2024)/GETPIVOTDATA("Sum of Total Cost",$A$3,"ANUALLY",2024)</f>
        <v>0.37504302925989674</v>
      </c>
      <c r="E65" s="41">
        <f>GETPIVOTDATA("Sum of Operators' Payment",$A$3,"ANUALLY",2024)/GETPIVOTDATA("Sum of Total Cost",$A$3,"ANUALLY",2024)</f>
        <v>6.7125645438898457E-2</v>
      </c>
      <c r="F65" s="41">
        <f>GETPIVOTDATA("Sum of Fuel Cost",$A$3,"ANUALLY",2024)/GETPIVOTDATA("Sum of Total Cost",$A$3,"ANUALLY",2024)</f>
        <v>8.6058519793459545E-3</v>
      </c>
      <c r="G65" s="41">
        <f>GETPIVOTDATA("Sum of Maintenance",$A$3,"ANUALLY",2024)/GETPIVOTDATA("Sum of Total Cost",$A$3,"ANUALLY",2024)</f>
        <v>8.6058519793459545E-3</v>
      </c>
      <c r="H65" s="41">
        <f>GETPIVOTDATA("Sum of Delivery Cost",$A$3,"ANUALLY",2024)/GETPIVOTDATA("Sum of Total Cost",$A$3,"ANUALLY",2024)</f>
        <v>0.19734939759036144</v>
      </c>
    </row>
    <row r="66" spans="1:8" x14ac:dyDescent="0.25">
      <c r="A66" s="45">
        <v>2025</v>
      </c>
      <c r="B66" s="41">
        <f t="shared" si="0"/>
        <v>1</v>
      </c>
      <c r="C66" s="41">
        <f>GETPIVOTDATA("Sum of Sand Cost",$A$3,"ANUALLY",2025)/GETPIVOTDATA("Sum of Total Cost",$A$3,"ANUALLY",2025)</f>
        <v>0.30083698209871029</v>
      </c>
      <c r="D66" s="41">
        <f>GETPIVOTDATA("Sum of Cement Cost",$A$3,"ANUALLY",2025)/GETPIVOTDATA("Sum of Total Cost",$A$3,"ANUALLY",2025)</f>
        <v>0.34465195246179964</v>
      </c>
      <c r="E66" s="41">
        <f>GETPIVOTDATA("Sum of Operators' Payment",$A$3,"ANUALLY",2025)/GETPIVOTDATA("Sum of Total Cost",$A$3,"ANUALLY",2025)</f>
        <v>0.10454829773925475</v>
      </c>
      <c r="F66" s="41">
        <f>GETPIVOTDATA("Sum of Fuel Cost",$A$3,"ANUALLY",2025)/GETPIVOTDATA("Sum of Total Cost",$A$3,"ANUALLY",2025)</f>
        <v>2.5243499240461084E-2</v>
      </c>
      <c r="G66" s="41">
        <f>GETPIVOTDATA("Sum of Maintenance",$A$3,"ANUALLY",2025)/GETPIVOTDATA("Sum of Total Cost",$A$3,"ANUALLY",2025)</f>
        <v>0.11369255056146307</v>
      </c>
      <c r="H66" s="41">
        <f>GETPIVOTDATA("Sum of Delivery Cost",$A$3,"ANUALLY",2025)/GETPIVOTDATA("Sum of Total Cost",$A$3,"ANUALLY",2025)</f>
        <v>0.11102671789831114</v>
      </c>
    </row>
    <row r="67" spans="1:8" s="53" customFormat="1" x14ac:dyDescent="0.25">
      <c r="A67" s="53" t="s">
        <v>196</v>
      </c>
      <c r="B67" s="54"/>
      <c r="C67" s="55">
        <f>SUM(C62:C66)</f>
        <v>1.7215136684766645</v>
      </c>
      <c r="D67" s="55">
        <f t="shared" ref="D67:H67" si="1">SUM(D62:D66)</f>
        <v>1.8688384426365199</v>
      </c>
      <c r="E67" s="55">
        <f t="shared" si="1"/>
        <v>0.54609843097495603</v>
      </c>
      <c r="F67" s="55">
        <f t="shared" si="1"/>
        <v>7.4754834105342532E-2</v>
      </c>
      <c r="G67" s="55">
        <f t="shared" si="1"/>
        <v>0.14951587648444126</v>
      </c>
      <c r="H67" s="55">
        <f t="shared" si="1"/>
        <v>0.64024260274376221</v>
      </c>
    </row>
    <row r="68" spans="1:8" x14ac:dyDescent="0.25">
      <c r="B68"/>
      <c r="C68"/>
      <c r="D68"/>
      <c r="E68"/>
      <c r="F68"/>
      <c r="G68"/>
      <c r="H68"/>
    </row>
    <row r="69" spans="1:8" x14ac:dyDescent="0.25">
      <c r="B69"/>
      <c r="C69"/>
      <c r="D69"/>
      <c r="E69"/>
      <c r="F69"/>
      <c r="G69"/>
      <c r="H69"/>
    </row>
    <row r="70" spans="1:8" x14ac:dyDescent="0.25">
      <c r="B70"/>
      <c r="C70"/>
      <c r="D70"/>
      <c r="E70"/>
      <c r="F70"/>
      <c r="G70"/>
      <c r="H70"/>
    </row>
    <row r="71" spans="1:8" x14ac:dyDescent="0.25">
      <c r="B71"/>
      <c r="C71"/>
      <c r="D71"/>
      <c r="E71"/>
      <c r="F71"/>
      <c r="G71"/>
      <c r="H71"/>
    </row>
    <row r="72" spans="1:8" x14ac:dyDescent="0.25">
      <c r="B72"/>
      <c r="C72"/>
      <c r="D72"/>
      <c r="E72"/>
      <c r="F72"/>
      <c r="G72"/>
      <c r="H72"/>
    </row>
    <row r="73" spans="1:8" x14ac:dyDescent="0.25">
      <c r="B73"/>
      <c r="C73"/>
      <c r="D73"/>
      <c r="E73"/>
      <c r="F73"/>
      <c r="G73"/>
      <c r="H73"/>
    </row>
    <row r="74" spans="1:8" x14ac:dyDescent="0.25">
      <c r="B74"/>
      <c r="C74"/>
      <c r="D74"/>
      <c r="E74"/>
      <c r="F74"/>
      <c r="G74"/>
      <c r="H74"/>
    </row>
    <row r="75" spans="1:8" x14ac:dyDescent="0.25">
      <c r="B75"/>
      <c r="C75"/>
      <c r="D75"/>
      <c r="E75"/>
      <c r="F75"/>
      <c r="G75"/>
      <c r="H75"/>
    </row>
    <row r="76" spans="1:8" x14ac:dyDescent="0.25">
      <c r="B76"/>
      <c r="C76"/>
      <c r="D76"/>
      <c r="E76"/>
      <c r="F76"/>
      <c r="G76"/>
      <c r="H76"/>
    </row>
    <row r="77" spans="1:8" x14ac:dyDescent="0.25">
      <c r="B77"/>
      <c r="C77"/>
      <c r="D77"/>
      <c r="E77"/>
      <c r="F77"/>
      <c r="G77"/>
      <c r="H77"/>
    </row>
    <row r="78" spans="1:8" x14ac:dyDescent="0.25">
      <c r="B78"/>
      <c r="C78"/>
      <c r="D78"/>
      <c r="E78"/>
      <c r="F78"/>
      <c r="G78"/>
      <c r="H78"/>
    </row>
    <row r="79" spans="1:8" x14ac:dyDescent="0.25">
      <c r="B79"/>
      <c r="C79"/>
      <c r="D79"/>
      <c r="E79"/>
      <c r="F79"/>
      <c r="G79"/>
      <c r="H79"/>
    </row>
    <row r="80" spans="1:8" x14ac:dyDescent="0.25">
      <c r="B80"/>
      <c r="C80"/>
      <c r="D80"/>
      <c r="E80"/>
      <c r="F80"/>
      <c r="G80"/>
      <c r="H80"/>
    </row>
    <row r="81" spans="2:8" x14ac:dyDescent="0.25">
      <c r="B81"/>
      <c r="C81"/>
      <c r="D81"/>
      <c r="E81"/>
      <c r="F81"/>
      <c r="G81"/>
      <c r="H81"/>
    </row>
    <row r="82" spans="2:8" x14ac:dyDescent="0.25">
      <c r="B82"/>
      <c r="C82"/>
      <c r="D82"/>
      <c r="E82"/>
      <c r="F82"/>
      <c r="G82"/>
      <c r="H82"/>
    </row>
    <row r="83" spans="2:8" x14ac:dyDescent="0.25">
      <c r="B83"/>
      <c r="C83"/>
      <c r="D83"/>
      <c r="E83"/>
      <c r="F83"/>
      <c r="G83"/>
      <c r="H83"/>
    </row>
    <row r="84" spans="2:8" x14ac:dyDescent="0.25">
      <c r="B84"/>
      <c r="C84"/>
      <c r="D84"/>
      <c r="E84"/>
      <c r="F84"/>
      <c r="G84"/>
      <c r="H84"/>
    </row>
    <row r="85" spans="2:8" x14ac:dyDescent="0.25">
      <c r="B85"/>
      <c r="C85"/>
      <c r="D85"/>
      <c r="E85"/>
      <c r="F85"/>
      <c r="G85"/>
      <c r="H85"/>
    </row>
    <row r="86" spans="2:8" x14ac:dyDescent="0.25">
      <c r="B86"/>
      <c r="C86"/>
      <c r="D86"/>
      <c r="E86"/>
      <c r="F86"/>
      <c r="G86"/>
      <c r="H86"/>
    </row>
    <row r="87" spans="2:8" x14ac:dyDescent="0.25">
      <c r="B87"/>
      <c r="C87"/>
      <c r="D87"/>
      <c r="E87"/>
      <c r="F87"/>
      <c r="G87"/>
      <c r="H87"/>
    </row>
    <row r="88" spans="2:8" x14ac:dyDescent="0.25">
      <c r="B88"/>
      <c r="C88"/>
      <c r="D88"/>
      <c r="E88"/>
      <c r="F88"/>
      <c r="G88"/>
      <c r="H88"/>
    </row>
    <row r="89" spans="2:8" x14ac:dyDescent="0.25">
      <c r="B89"/>
      <c r="C89"/>
      <c r="D89"/>
      <c r="E89"/>
      <c r="F89"/>
      <c r="G89"/>
      <c r="H89"/>
    </row>
    <row r="90" spans="2:8" x14ac:dyDescent="0.25">
      <c r="B90"/>
      <c r="C90"/>
      <c r="D90"/>
      <c r="E90"/>
      <c r="F90"/>
      <c r="G90"/>
      <c r="H90"/>
    </row>
    <row r="91" spans="2:8" x14ac:dyDescent="0.25">
      <c r="B91"/>
      <c r="C91"/>
      <c r="D91"/>
      <c r="E91"/>
      <c r="F91"/>
      <c r="G91"/>
      <c r="H91"/>
    </row>
    <row r="92" spans="2:8" x14ac:dyDescent="0.25">
      <c r="B92"/>
      <c r="C92"/>
      <c r="D92"/>
      <c r="E92"/>
      <c r="F92"/>
      <c r="G92"/>
      <c r="H92"/>
    </row>
    <row r="93" spans="2:8" x14ac:dyDescent="0.25">
      <c r="B93"/>
      <c r="C93"/>
      <c r="D93"/>
      <c r="E93"/>
      <c r="F93"/>
      <c r="G93"/>
      <c r="H93"/>
    </row>
    <row r="94" spans="2:8" x14ac:dyDescent="0.25">
      <c r="B94"/>
      <c r="C94"/>
      <c r="D94"/>
      <c r="E94"/>
      <c r="F94"/>
      <c r="G94"/>
      <c r="H94"/>
    </row>
    <row r="95" spans="2:8" x14ac:dyDescent="0.25">
      <c r="B95"/>
      <c r="C95"/>
      <c r="D95"/>
      <c r="E95"/>
      <c r="F95"/>
      <c r="G95"/>
      <c r="H95"/>
    </row>
    <row r="96" spans="2:8" x14ac:dyDescent="0.25">
      <c r="B96"/>
      <c r="C96"/>
      <c r="D96"/>
      <c r="E96"/>
      <c r="F96"/>
      <c r="G96"/>
      <c r="H96"/>
    </row>
    <row r="97" spans="2:8" x14ac:dyDescent="0.25">
      <c r="B97"/>
      <c r="C97"/>
      <c r="D97"/>
      <c r="E97"/>
      <c r="F97"/>
      <c r="G97"/>
      <c r="H97"/>
    </row>
    <row r="98" spans="2:8" x14ac:dyDescent="0.25">
      <c r="B98"/>
      <c r="C98"/>
      <c r="D98"/>
      <c r="E98"/>
      <c r="F98"/>
      <c r="G98"/>
      <c r="H98"/>
    </row>
    <row r="99" spans="2:8" x14ac:dyDescent="0.25">
      <c r="B99"/>
      <c r="C99"/>
      <c r="D99"/>
      <c r="E99"/>
      <c r="F99"/>
      <c r="G99"/>
      <c r="H99"/>
    </row>
    <row r="100" spans="2:8" x14ac:dyDescent="0.25">
      <c r="B100"/>
      <c r="C100"/>
      <c r="D100"/>
      <c r="E100"/>
      <c r="F100"/>
      <c r="G100"/>
      <c r="H100"/>
    </row>
    <row r="101" spans="2:8" x14ac:dyDescent="0.25">
      <c r="B101"/>
      <c r="C101"/>
      <c r="D101"/>
      <c r="E101"/>
      <c r="F101"/>
      <c r="G101"/>
      <c r="H101"/>
    </row>
    <row r="102" spans="2:8" x14ac:dyDescent="0.25">
      <c r="B102"/>
      <c r="C102"/>
      <c r="D102"/>
      <c r="E102"/>
      <c r="F102"/>
      <c r="G102"/>
      <c r="H102"/>
    </row>
    <row r="103" spans="2:8" x14ac:dyDescent="0.25">
      <c r="B103"/>
      <c r="C103"/>
      <c r="D103"/>
      <c r="E103"/>
      <c r="F103"/>
      <c r="G103"/>
      <c r="H103"/>
    </row>
    <row r="104" spans="2:8" x14ac:dyDescent="0.25">
      <c r="B104"/>
      <c r="C104"/>
      <c r="D104"/>
      <c r="E104"/>
      <c r="F104"/>
      <c r="G104"/>
      <c r="H104"/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109"/>
  <sheetViews>
    <sheetView zoomScaleNormal="100" workbookViewId="0">
      <selection activeCell="L5" sqref="L5"/>
    </sheetView>
  </sheetViews>
  <sheetFormatPr defaultRowHeight="15" x14ac:dyDescent="0.25"/>
  <cols>
    <col min="1" max="1" width="13.140625" style="5" customWidth="1"/>
    <col min="2" max="2" width="21.7109375" style="26" customWidth="1"/>
    <col min="3" max="3" width="26.42578125" style="26" customWidth="1"/>
    <col min="4" max="4" width="19.140625" style="26" customWidth="1"/>
    <col min="5" max="5" width="25.85546875" style="26" customWidth="1"/>
    <col min="6" max="6" width="19.85546875" style="56" customWidth="1"/>
    <col min="7" max="8" width="19.7109375" style="6" customWidth="1"/>
    <col min="9" max="9" width="21.140625" style="93" customWidth="1"/>
    <col min="10" max="10" width="16.5703125" style="5" customWidth="1"/>
    <col min="11" max="11" width="19.140625" style="5" customWidth="1"/>
    <col min="12" max="14" width="10.5703125" style="5" customWidth="1"/>
    <col min="15" max="18" width="9" style="5" customWidth="1"/>
    <col min="19" max="21" width="10.5703125" style="5" customWidth="1"/>
    <col min="22" max="22" width="9" style="5" customWidth="1"/>
    <col min="23" max="23" width="11.5703125" style="5" customWidth="1"/>
    <col min="24" max="37" width="20.5703125" style="5" bestFit="1" customWidth="1"/>
    <col min="38" max="40" width="20.5703125" style="5" customWidth="1"/>
    <col min="41" max="44" width="20.5703125" style="5" bestFit="1" customWidth="1"/>
    <col min="45" max="47" width="20.5703125" style="5" customWidth="1"/>
    <col min="48" max="76" width="20.5703125" style="5" bestFit="1" customWidth="1"/>
    <col min="77" max="77" width="21.5703125" style="5" bestFit="1" customWidth="1"/>
    <col min="78" max="78" width="25.7109375" style="5" bestFit="1" customWidth="1"/>
    <col min="79" max="16384" width="9.140625" style="5"/>
  </cols>
  <sheetData>
    <row r="1" spans="1:78" x14ac:dyDescent="0.25">
      <c r="A1"/>
      <c r="B1" s="25"/>
      <c r="G1" s="58"/>
      <c r="H1" s="63"/>
      <c r="I1" s="90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4"/>
    </row>
    <row r="2" spans="1:78" x14ac:dyDescent="0.25">
      <c r="A2"/>
      <c r="B2" s="25"/>
      <c r="G2" s="58"/>
      <c r="H2" s="63"/>
      <c r="I2" s="90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4"/>
    </row>
    <row r="3" spans="1:78" x14ac:dyDescent="0.25">
      <c r="A3"/>
      <c r="B3" s="25"/>
      <c r="C3" s="25"/>
      <c r="D3" s="25"/>
      <c r="E3" s="25"/>
      <c r="F3" s="57"/>
      <c r="G3" s="3"/>
      <c r="H3" s="3"/>
      <c r="I3" s="90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</row>
    <row r="4" spans="1:78" x14ac:dyDescent="0.25">
      <c r="A4"/>
      <c r="B4" s="25"/>
      <c r="C4" s="25"/>
      <c r="D4" s="25"/>
      <c r="E4" s="25"/>
      <c r="F4" s="57"/>
      <c r="G4" s="3"/>
      <c r="H4" s="3"/>
      <c r="I4" s="90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</row>
    <row r="5" spans="1:78" x14ac:dyDescent="0.25">
      <c r="A5" s="16" t="s">
        <v>114</v>
      </c>
      <c r="B5" s="27" t="s">
        <v>203</v>
      </c>
      <c r="C5" s="27" t="s">
        <v>159</v>
      </c>
      <c r="D5" s="5" t="s">
        <v>163</v>
      </c>
      <c r="E5" s="5" t="s">
        <v>164</v>
      </c>
      <c r="F5" s="56" t="s">
        <v>198</v>
      </c>
      <c r="G5" s="6" t="s">
        <v>222</v>
      </c>
      <c r="H5" s="63"/>
      <c r="I5" s="91" t="s">
        <v>223</v>
      </c>
      <c r="J5" s="87" t="s">
        <v>224</v>
      </c>
      <c r="K5" s="87" t="s">
        <v>225</v>
      </c>
      <c r="L5" s="87" t="s">
        <v>205</v>
      </c>
      <c r="M5" s="88"/>
      <c r="N5" s="88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</row>
    <row r="6" spans="1:78" x14ac:dyDescent="0.25">
      <c r="A6" s="17">
        <v>2021</v>
      </c>
      <c r="B6" s="27"/>
      <c r="C6" s="27">
        <v>1856</v>
      </c>
      <c r="D6" s="4">
        <v>140000</v>
      </c>
      <c r="E6" s="4">
        <v>42000</v>
      </c>
      <c r="F6" s="56">
        <v>35</v>
      </c>
      <c r="G6" s="6">
        <v>30</v>
      </c>
      <c r="H6" s="63"/>
      <c r="I6" s="96">
        <f>GETPIVOTDATA("Sum of Total Qty Produced",$A$5,"ANUALLY",2021)/GETPIVOTDATA("Sum of Operators' Payment",$A$5,"ANUALLY",2021)</f>
        <v>4.419047619047619E-2</v>
      </c>
      <c r="J6" s="94">
        <f>GETPIVOTDATA("Sum of Total Qty Produced",$A$5,"ANUALLY",2021)/GETPIVOTDATA("Sum of Tons Of Sand ",$A$5,"ANUALLY",2021)</f>
        <v>61.866666666666667</v>
      </c>
      <c r="K6" s="94">
        <f>GETPIVOTDATA("Sum of Total Qty Produced",$A$5,"ANUALLY",2021)/GETPIVOTDATA("Sum of Bag Produced",$A$5,"ANUALLY",2021)</f>
        <v>53.028571428571432</v>
      </c>
      <c r="L6" s="89">
        <f>B6/C6</f>
        <v>0</v>
      </c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</row>
    <row r="7" spans="1:78" x14ac:dyDescent="0.25">
      <c r="A7" s="18" t="s">
        <v>137</v>
      </c>
      <c r="B7" s="27"/>
      <c r="C7" s="27">
        <v>1856</v>
      </c>
      <c r="D7" s="4">
        <v>140000</v>
      </c>
      <c r="E7" s="4">
        <v>42000</v>
      </c>
      <c r="F7" s="56">
        <v>35</v>
      </c>
      <c r="G7" s="6">
        <v>30</v>
      </c>
      <c r="H7" s="63"/>
      <c r="I7" s="9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</row>
    <row r="8" spans="1:78" x14ac:dyDescent="0.25">
      <c r="A8" s="17">
        <v>2022</v>
      </c>
      <c r="B8" s="27">
        <v>18299</v>
      </c>
      <c r="C8" s="27">
        <v>18559</v>
      </c>
      <c r="D8" s="4">
        <v>1608150</v>
      </c>
      <c r="E8" s="4">
        <v>568400</v>
      </c>
      <c r="F8" s="56">
        <v>385</v>
      </c>
      <c r="G8" s="6">
        <v>428</v>
      </c>
      <c r="H8" s="63"/>
      <c r="I8" s="96">
        <f>GETPIVOTDATA("Sum of Total Qty Produced",$A$5,"ANUALLY",2022)/GETPIVOTDATA("Sum of Operators' Payment",$A$5,"ANUALLY",2022)</f>
        <v>3.2651301900070373E-2</v>
      </c>
      <c r="J8" s="94">
        <f>GETPIVOTDATA("Sum of Total Qty Produced",$A$5,"ANUALLY",2022)/GETPIVOTDATA("Sum of Tons Of Sand ",$A$5,"ANUALLY",2022)</f>
        <v>43.362149532710283</v>
      </c>
      <c r="K8" s="95">
        <f>C8/GETPIVOTDATA("Sum of Bag Produced",$A$5,"ANUALLY",2022)</f>
        <v>48.205194805194807</v>
      </c>
      <c r="L8" s="89">
        <f>B8/C8</f>
        <v>0.9859906244948542</v>
      </c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</row>
    <row r="9" spans="1:78" x14ac:dyDescent="0.25">
      <c r="A9" s="18" t="s">
        <v>138</v>
      </c>
      <c r="B9" s="27">
        <v>1274</v>
      </c>
      <c r="C9" s="27"/>
      <c r="D9" s="4"/>
      <c r="E9" s="4"/>
      <c r="H9" s="63"/>
      <c r="I9" s="9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</row>
    <row r="10" spans="1:78" x14ac:dyDescent="0.25">
      <c r="A10" s="18" t="s">
        <v>139</v>
      </c>
      <c r="B10" s="27">
        <v>1283</v>
      </c>
      <c r="C10" s="27">
        <v>2360</v>
      </c>
      <c r="D10" s="4">
        <v>189000</v>
      </c>
      <c r="E10" s="4">
        <v>67500</v>
      </c>
      <c r="F10" s="56">
        <v>45</v>
      </c>
      <c r="G10" s="6">
        <v>48</v>
      </c>
      <c r="H10" s="63"/>
      <c r="I10" s="9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</row>
    <row r="11" spans="1:78" x14ac:dyDescent="0.25">
      <c r="A11" s="18" t="s">
        <v>140</v>
      </c>
      <c r="B11" s="27">
        <v>802</v>
      </c>
      <c r="C11" s="27">
        <v>788</v>
      </c>
      <c r="D11" s="4">
        <v>119400</v>
      </c>
      <c r="E11" s="4">
        <v>22400</v>
      </c>
      <c r="F11" s="56">
        <v>16</v>
      </c>
      <c r="G11" s="6">
        <v>20</v>
      </c>
      <c r="H11" s="63"/>
      <c r="I11" s="9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</row>
    <row r="12" spans="1:78" x14ac:dyDescent="0.25">
      <c r="A12" s="18" t="s">
        <v>141</v>
      </c>
      <c r="B12" s="27">
        <v>1560</v>
      </c>
      <c r="C12" s="27">
        <v>1498</v>
      </c>
      <c r="D12" s="4">
        <v>90000</v>
      </c>
      <c r="E12" s="4">
        <v>48000</v>
      </c>
      <c r="F12" s="56">
        <v>33</v>
      </c>
      <c r="G12" s="6">
        <v>30</v>
      </c>
      <c r="H12" s="63"/>
      <c r="I12" s="9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</row>
    <row r="13" spans="1:78" x14ac:dyDescent="0.25">
      <c r="A13" s="18" t="s">
        <v>127</v>
      </c>
      <c r="B13" s="27">
        <v>376</v>
      </c>
      <c r="C13" s="27">
        <v>546</v>
      </c>
      <c r="D13" s="4">
        <v>40000</v>
      </c>
      <c r="E13" s="4">
        <v>15000</v>
      </c>
      <c r="F13" s="56">
        <v>11</v>
      </c>
      <c r="G13" s="6">
        <v>10</v>
      </c>
      <c r="H13" s="63"/>
      <c r="I13" s="9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</row>
    <row r="14" spans="1:78" x14ac:dyDescent="0.25">
      <c r="A14" s="18" t="s">
        <v>142</v>
      </c>
      <c r="B14" s="27">
        <v>706</v>
      </c>
      <c r="C14" s="27">
        <v>645</v>
      </c>
      <c r="D14" s="4">
        <v>82000</v>
      </c>
      <c r="E14" s="4">
        <v>22500</v>
      </c>
      <c r="F14" s="56">
        <v>15</v>
      </c>
      <c r="G14" s="6">
        <v>30</v>
      </c>
      <c r="H14" s="63"/>
      <c r="I14" s="9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</row>
    <row r="15" spans="1:78" x14ac:dyDescent="0.25">
      <c r="A15" s="18" t="s">
        <v>143</v>
      </c>
      <c r="B15" s="27">
        <v>600</v>
      </c>
      <c r="C15" s="27">
        <v>780</v>
      </c>
      <c r="D15" s="4">
        <v>45700</v>
      </c>
      <c r="E15" s="4">
        <v>15000</v>
      </c>
      <c r="F15" s="56">
        <v>13</v>
      </c>
      <c r="G15" s="6">
        <v>10</v>
      </c>
      <c r="H15" s="63"/>
      <c r="I15" s="9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</row>
    <row r="16" spans="1:78" x14ac:dyDescent="0.25">
      <c r="A16" s="18" t="s">
        <v>144</v>
      </c>
      <c r="B16" s="27">
        <v>4600</v>
      </c>
      <c r="C16" s="27">
        <v>3795</v>
      </c>
      <c r="D16" s="4">
        <v>348300</v>
      </c>
      <c r="E16" s="4">
        <v>129000</v>
      </c>
      <c r="F16" s="56">
        <v>86</v>
      </c>
      <c r="G16" s="6">
        <v>100</v>
      </c>
      <c r="H16" s="63"/>
      <c r="I16" s="9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</row>
    <row r="17" spans="1:47" x14ac:dyDescent="0.25">
      <c r="A17" s="18" t="s">
        <v>145</v>
      </c>
      <c r="B17" s="27">
        <v>954</v>
      </c>
      <c r="C17" s="27">
        <v>2286</v>
      </c>
      <c r="D17" s="4">
        <v>214650</v>
      </c>
      <c r="E17" s="4">
        <v>72000</v>
      </c>
      <c r="F17" s="56">
        <v>48</v>
      </c>
      <c r="G17" s="6">
        <v>20</v>
      </c>
      <c r="H17" s="63"/>
      <c r="I17" s="9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</row>
    <row r="18" spans="1:47" x14ac:dyDescent="0.25">
      <c r="A18" s="18" t="s">
        <v>146</v>
      </c>
      <c r="B18" s="27">
        <v>3460</v>
      </c>
      <c r="C18" s="27">
        <v>3774</v>
      </c>
      <c r="D18" s="4">
        <v>283500</v>
      </c>
      <c r="E18" s="4">
        <v>112500</v>
      </c>
      <c r="F18" s="56">
        <v>75</v>
      </c>
      <c r="G18" s="6">
        <v>90</v>
      </c>
      <c r="H18" s="63"/>
      <c r="I18" s="9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</row>
    <row r="19" spans="1:47" x14ac:dyDescent="0.25">
      <c r="A19" s="18" t="s">
        <v>147</v>
      </c>
      <c r="B19" s="27">
        <v>1150</v>
      </c>
      <c r="C19" s="27">
        <v>430</v>
      </c>
      <c r="D19" s="4">
        <v>40500</v>
      </c>
      <c r="E19" s="4">
        <v>15000</v>
      </c>
      <c r="F19" s="56">
        <v>10</v>
      </c>
      <c r="G19" s="6">
        <v>10</v>
      </c>
      <c r="H19" s="63"/>
      <c r="I19" s="9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</row>
    <row r="20" spans="1:47" x14ac:dyDescent="0.25">
      <c r="A20" s="18" t="s">
        <v>137</v>
      </c>
      <c r="B20" s="27">
        <v>1534</v>
      </c>
      <c r="C20" s="27">
        <v>1657</v>
      </c>
      <c r="D20" s="4">
        <v>155100</v>
      </c>
      <c r="E20" s="4">
        <v>49500</v>
      </c>
      <c r="F20" s="56">
        <v>33</v>
      </c>
      <c r="G20" s="6">
        <v>60</v>
      </c>
      <c r="H20" s="63"/>
      <c r="I20" s="9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</row>
    <row r="21" spans="1:47" x14ac:dyDescent="0.25">
      <c r="A21" s="17">
        <v>2023</v>
      </c>
      <c r="B21" s="27">
        <v>16622</v>
      </c>
      <c r="C21" s="27">
        <v>17313</v>
      </c>
      <c r="D21" s="4">
        <v>1816750</v>
      </c>
      <c r="E21" s="4">
        <v>616300</v>
      </c>
      <c r="F21" s="56">
        <v>346</v>
      </c>
      <c r="G21" s="6">
        <v>412</v>
      </c>
      <c r="H21" s="63"/>
      <c r="I21" s="96">
        <f>GETPIVOTDATA("Sum of Total Qty Produced",$A$5,"ANUALLY",2023)/GETPIVOTDATA("Sum of Operators' Payment",$A$5,"ANUALLY",2023)</f>
        <v>2.8091838390394287E-2</v>
      </c>
      <c r="J21" s="94">
        <f>GETPIVOTDATA("Sum of Total Qty Produced",$A$5,"ANUALLY",2023)/GETPIVOTDATA("Sum of Tons Of Sand ",$A$5,"ANUALLY",2023)</f>
        <v>42.021844660194176</v>
      </c>
      <c r="K21" s="95">
        <f>C21/F21</f>
        <v>50.037572254335259</v>
      </c>
      <c r="L21" s="89">
        <f>B21/C21</f>
        <v>0.96008779529833077</v>
      </c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</row>
    <row r="22" spans="1:47" x14ac:dyDescent="0.25">
      <c r="A22" s="18" t="s">
        <v>138</v>
      </c>
      <c r="B22" s="27">
        <v>950</v>
      </c>
      <c r="C22" s="27">
        <v>824</v>
      </c>
      <c r="D22" s="4">
        <v>86400</v>
      </c>
      <c r="E22" s="4">
        <v>24000</v>
      </c>
      <c r="F22" s="56">
        <v>16</v>
      </c>
      <c r="G22" s="6">
        <v>18</v>
      </c>
      <c r="H22" s="63"/>
      <c r="I22" s="9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</row>
    <row r="23" spans="1:47" x14ac:dyDescent="0.25">
      <c r="A23" s="18" t="s">
        <v>140</v>
      </c>
      <c r="B23" s="27">
        <v>1616</v>
      </c>
      <c r="C23" s="27">
        <v>2011</v>
      </c>
      <c r="D23" s="4">
        <v>209000</v>
      </c>
      <c r="E23" s="4">
        <v>66000</v>
      </c>
      <c r="F23" s="56">
        <v>44</v>
      </c>
      <c r="G23" s="6">
        <v>38</v>
      </c>
      <c r="H23" s="63"/>
      <c r="I23" s="9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</row>
    <row r="24" spans="1:47" x14ac:dyDescent="0.25">
      <c r="A24" s="18" t="s">
        <v>141</v>
      </c>
      <c r="B24" s="27">
        <v>3381</v>
      </c>
      <c r="C24" s="27">
        <v>3615</v>
      </c>
      <c r="D24" s="4">
        <v>328900</v>
      </c>
      <c r="E24" s="4">
        <v>120000</v>
      </c>
      <c r="F24" s="56">
        <v>70</v>
      </c>
      <c r="G24" s="6">
        <v>72</v>
      </c>
      <c r="H24" s="63"/>
      <c r="I24" s="9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</row>
    <row r="25" spans="1:47" x14ac:dyDescent="0.25">
      <c r="A25" s="18" t="s">
        <v>127</v>
      </c>
      <c r="B25" s="27">
        <v>1642</v>
      </c>
      <c r="C25" s="27">
        <v>504</v>
      </c>
      <c r="D25" s="4">
        <v>32900</v>
      </c>
      <c r="E25" s="4">
        <v>9000</v>
      </c>
      <c r="F25" s="56">
        <v>6</v>
      </c>
      <c r="G25" s="6">
        <v>8</v>
      </c>
      <c r="H25" s="63"/>
      <c r="I25" s="9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</row>
    <row r="26" spans="1:47" x14ac:dyDescent="0.25">
      <c r="A26" s="18" t="s">
        <v>142</v>
      </c>
      <c r="B26" s="27">
        <v>870</v>
      </c>
      <c r="C26" s="27">
        <v>760</v>
      </c>
      <c r="D26" s="4">
        <v>145500</v>
      </c>
      <c r="E26" s="4">
        <v>30000</v>
      </c>
      <c r="F26" s="56">
        <v>20</v>
      </c>
      <c r="G26" s="6">
        <v>42</v>
      </c>
      <c r="H26" s="63"/>
      <c r="I26" s="9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4"/>
    </row>
    <row r="27" spans="1:47" x14ac:dyDescent="0.25">
      <c r="A27" s="18" t="s">
        <v>143</v>
      </c>
      <c r="B27" s="27">
        <v>470</v>
      </c>
      <c r="C27" s="27">
        <v>903</v>
      </c>
      <c r="D27" s="4">
        <v>135300</v>
      </c>
      <c r="E27" s="4">
        <v>32000</v>
      </c>
      <c r="F27" s="56">
        <v>21</v>
      </c>
      <c r="G27" s="6">
        <v>28</v>
      </c>
      <c r="H27" s="63"/>
      <c r="I27" s="9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4"/>
    </row>
    <row r="28" spans="1:47" x14ac:dyDescent="0.25">
      <c r="A28" s="18" t="s">
        <v>144</v>
      </c>
      <c r="B28" s="27">
        <v>440</v>
      </c>
      <c r="C28" s="27">
        <v>1040</v>
      </c>
      <c r="D28" s="4">
        <v>87200</v>
      </c>
      <c r="E28" s="4">
        <v>33500</v>
      </c>
      <c r="F28" s="56">
        <v>21</v>
      </c>
      <c r="G28" s="6">
        <v>25</v>
      </c>
      <c r="H28" s="63"/>
      <c r="I28" s="9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4"/>
    </row>
    <row r="29" spans="1:47" x14ac:dyDescent="0.25">
      <c r="A29" s="18" t="s">
        <v>145</v>
      </c>
      <c r="B29" s="27">
        <v>1928</v>
      </c>
      <c r="C29" s="27">
        <v>2079</v>
      </c>
      <c r="D29" s="4">
        <v>230050</v>
      </c>
      <c r="E29" s="4">
        <v>74800</v>
      </c>
      <c r="F29" s="56">
        <v>44</v>
      </c>
      <c r="G29" s="6">
        <v>48</v>
      </c>
      <c r="H29" s="63"/>
      <c r="I29" s="9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4"/>
    </row>
    <row r="30" spans="1:47" x14ac:dyDescent="0.25">
      <c r="A30" s="18" t="s">
        <v>146</v>
      </c>
      <c r="B30" s="27">
        <v>2838</v>
      </c>
      <c r="C30" s="27">
        <v>2780</v>
      </c>
      <c r="D30" s="4">
        <v>283550</v>
      </c>
      <c r="E30" s="4">
        <v>138600</v>
      </c>
      <c r="F30" s="56">
        <v>52</v>
      </c>
      <c r="G30" s="6">
        <v>65</v>
      </c>
      <c r="H30" s="63"/>
      <c r="I30" s="9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4"/>
    </row>
    <row r="31" spans="1:47" x14ac:dyDescent="0.25">
      <c r="A31" s="18" t="s">
        <v>147</v>
      </c>
      <c r="B31" s="27">
        <v>982</v>
      </c>
      <c r="C31" s="27">
        <v>1140</v>
      </c>
      <c r="D31" s="4">
        <v>98100</v>
      </c>
      <c r="E31" s="4">
        <v>32300</v>
      </c>
      <c r="F31" s="56">
        <v>19</v>
      </c>
      <c r="G31" s="6">
        <v>18</v>
      </c>
      <c r="H31" s="63"/>
      <c r="I31" s="9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4"/>
    </row>
    <row r="32" spans="1:47" x14ac:dyDescent="0.25">
      <c r="A32" s="18" t="s">
        <v>137</v>
      </c>
      <c r="B32" s="27">
        <v>1505</v>
      </c>
      <c r="C32" s="27">
        <v>1657</v>
      </c>
      <c r="D32" s="4">
        <v>179850</v>
      </c>
      <c r="E32" s="4">
        <v>56100</v>
      </c>
      <c r="F32" s="56">
        <v>33</v>
      </c>
      <c r="G32" s="6">
        <v>50</v>
      </c>
      <c r="H32" s="63"/>
      <c r="I32" s="9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4"/>
    </row>
    <row r="33" spans="1:27" x14ac:dyDescent="0.25">
      <c r="A33" s="17">
        <v>2024</v>
      </c>
      <c r="B33" s="27">
        <v>3260</v>
      </c>
      <c r="C33" s="27">
        <v>2010</v>
      </c>
      <c r="D33" s="4">
        <v>435800</v>
      </c>
      <c r="E33" s="4">
        <v>78000</v>
      </c>
      <c r="F33" s="56">
        <v>40</v>
      </c>
      <c r="G33" s="6">
        <v>63</v>
      </c>
      <c r="H33" s="63"/>
      <c r="I33" s="96">
        <f>GETPIVOTDATA("Sum of Total Qty Produced",$A$5,"ANUALLY",2024)/GETPIVOTDATA("Sum of Operators' Payment",$A$5,"ANUALLY",2024)</f>
        <v>2.576923076923077E-2</v>
      </c>
      <c r="J33" s="94">
        <f>GETPIVOTDATA("Sum of Total Qty Produced",$A$5,"ANUALLY",2024)/GETPIVOTDATA("Sum of Tons Of Sand ",$A$5,"ANUALLY",2024)</f>
        <v>31.904761904761905</v>
      </c>
      <c r="K33" s="95">
        <f>C33/F33</f>
        <v>50.25</v>
      </c>
      <c r="L33" s="89">
        <f>B33/C33</f>
        <v>1.6218905472636815</v>
      </c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4"/>
    </row>
    <row r="34" spans="1:27" x14ac:dyDescent="0.25">
      <c r="A34" s="18" t="s">
        <v>138</v>
      </c>
      <c r="B34" s="27">
        <v>720</v>
      </c>
      <c r="C34" s="27"/>
      <c r="D34" s="4"/>
      <c r="E34" s="4"/>
      <c r="G34" s="6">
        <v>8</v>
      </c>
      <c r="H34" s="63"/>
      <c r="I34" s="9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4"/>
    </row>
    <row r="35" spans="1:27" x14ac:dyDescent="0.25">
      <c r="A35" s="18" t="s">
        <v>139</v>
      </c>
      <c r="B35" s="27">
        <v>2020</v>
      </c>
      <c r="C35" s="27">
        <v>2010</v>
      </c>
      <c r="D35" s="4">
        <v>435800</v>
      </c>
      <c r="E35" s="4">
        <v>78000</v>
      </c>
      <c r="F35" s="56">
        <v>40</v>
      </c>
      <c r="G35" s="6">
        <v>45</v>
      </c>
      <c r="H35" s="63"/>
      <c r="I35" s="9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4"/>
    </row>
    <row r="36" spans="1:27" x14ac:dyDescent="0.25">
      <c r="A36" s="18" t="s">
        <v>140</v>
      </c>
      <c r="B36" s="27">
        <v>347</v>
      </c>
      <c r="C36" s="27"/>
      <c r="D36" s="4"/>
      <c r="E36" s="4"/>
      <c r="G36" s="6">
        <v>10</v>
      </c>
      <c r="H36" s="63"/>
      <c r="I36" s="9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4"/>
    </row>
    <row r="37" spans="1:27" x14ac:dyDescent="0.25">
      <c r="A37" s="18" t="s">
        <v>141</v>
      </c>
      <c r="B37" s="27">
        <v>173</v>
      </c>
      <c r="C37" s="27"/>
      <c r="D37" s="4"/>
      <c r="E37" s="4"/>
      <c r="H37" s="63"/>
      <c r="I37" s="9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4"/>
    </row>
    <row r="38" spans="1:27" x14ac:dyDescent="0.25">
      <c r="A38" s="17">
        <v>2025</v>
      </c>
      <c r="B38" s="27">
        <v>5033</v>
      </c>
      <c r="C38" s="27">
        <v>6141</v>
      </c>
      <c r="D38" s="4">
        <v>1157100</v>
      </c>
      <c r="E38" s="4">
        <v>351000</v>
      </c>
      <c r="F38" s="56">
        <v>110</v>
      </c>
      <c r="G38" s="6">
        <v>110</v>
      </c>
      <c r="H38" s="63"/>
      <c r="I38" s="96">
        <f>GETPIVOTDATA("Sum of Total Qty Produced",$A$5,"ANUALLY",2025)/GETPIVOTDATA("Sum of Operators' Payment",$A$5,"ANUALLY",2025)</f>
        <v>1.7495726495726494E-2</v>
      </c>
      <c r="J38" s="94">
        <f>GETPIVOTDATA("Sum of Total Qty Produced",$A$5,"ANUALLY",2025)/GETPIVOTDATA("Sum of Tons Of Sand ",$A$5,"ANUALLY",2025)</f>
        <v>55.827272727272728</v>
      </c>
      <c r="K38" s="95">
        <f>C38/F38</f>
        <v>55.827272727272728</v>
      </c>
      <c r="L38" s="89">
        <f>B38/C38</f>
        <v>0.81957335938772191</v>
      </c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4"/>
    </row>
    <row r="39" spans="1:27" x14ac:dyDescent="0.25">
      <c r="A39" s="18" t="s">
        <v>127</v>
      </c>
      <c r="B39" s="27"/>
      <c r="C39" s="27">
        <v>1526</v>
      </c>
      <c r="D39" s="4">
        <v>367500</v>
      </c>
      <c r="E39" s="4">
        <v>87000</v>
      </c>
      <c r="F39" s="56">
        <v>29</v>
      </c>
      <c r="G39" s="6">
        <v>10</v>
      </c>
      <c r="H39" s="63"/>
      <c r="I39" s="90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4"/>
    </row>
    <row r="40" spans="1:27" x14ac:dyDescent="0.25">
      <c r="A40" s="18" t="s">
        <v>142</v>
      </c>
      <c r="B40" s="27">
        <v>925</v>
      </c>
      <c r="C40" s="27"/>
      <c r="D40" s="4"/>
      <c r="E40" s="4"/>
      <c r="H40" s="63"/>
      <c r="I40" s="90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4"/>
    </row>
    <row r="41" spans="1:27" x14ac:dyDescent="0.25">
      <c r="A41" s="18" t="s">
        <v>143</v>
      </c>
      <c r="B41" s="27">
        <v>850</v>
      </c>
      <c r="C41" s="27">
        <v>1656</v>
      </c>
      <c r="D41" s="4">
        <v>265500</v>
      </c>
      <c r="E41" s="4">
        <v>92000</v>
      </c>
      <c r="F41" s="56">
        <v>29</v>
      </c>
      <c r="G41" s="6">
        <v>30</v>
      </c>
      <c r="H41" s="63"/>
      <c r="I41" s="90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4"/>
    </row>
    <row r="42" spans="1:27" x14ac:dyDescent="0.25">
      <c r="A42" s="18" t="s">
        <v>144</v>
      </c>
      <c r="B42" s="27">
        <v>377</v>
      </c>
      <c r="C42" s="27"/>
      <c r="D42" s="4"/>
      <c r="E42" s="4"/>
      <c r="H42" s="63"/>
      <c r="I42" s="90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4"/>
    </row>
    <row r="43" spans="1:27" x14ac:dyDescent="0.25">
      <c r="A43" s="18" t="s">
        <v>145</v>
      </c>
      <c r="B43" s="27">
        <v>550</v>
      </c>
      <c r="C43" s="27"/>
      <c r="D43" s="4"/>
      <c r="E43" s="4"/>
      <c r="G43" s="6">
        <v>10</v>
      </c>
      <c r="H43" s="63"/>
      <c r="I43" s="90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4"/>
    </row>
    <row r="44" spans="1:27" x14ac:dyDescent="0.25">
      <c r="A44" s="18" t="s">
        <v>146</v>
      </c>
      <c r="B44" s="27">
        <v>414</v>
      </c>
      <c r="C44" s="27">
        <v>584</v>
      </c>
      <c r="D44" s="4">
        <v>122400</v>
      </c>
      <c r="E44" s="4">
        <v>30000</v>
      </c>
      <c r="F44" s="56">
        <v>10</v>
      </c>
      <c r="H44" s="63"/>
      <c r="I44" s="90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4"/>
    </row>
    <row r="45" spans="1:27" x14ac:dyDescent="0.25">
      <c r="A45" s="18" t="s">
        <v>147</v>
      </c>
      <c r="B45" s="27">
        <v>1131</v>
      </c>
      <c r="C45" s="27">
        <v>2375</v>
      </c>
      <c r="D45" s="4">
        <v>401700</v>
      </c>
      <c r="E45" s="4">
        <v>142000</v>
      </c>
      <c r="F45" s="56">
        <v>42</v>
      </c>
      <c r="G45" s="6">
        <v>60</v>
      </c>
      <c r="H45" s="63"/>
      <c r="I45" s="90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4"/>
    </row>
    <row r="46" spans="1:27" x14ac:dyDescent="0.25">
      <c r="A46" s="18" t="s">
        <v>137</v>
      </c>
      <c r="B46" s="27">
        <v>786</v>
      </c>
      <c r="C46" s="27"/>
      <c r="D46" s="4"/>
      <c r="E46" s="4"/>
      <c r="H46" s="63"/>
      <c r="I46" s="90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4"/>
    </row>
    <row r="47" spans="1:27" x14ac:dyDescent="0.25">
      <c r="A47" s="17" t="s">
        <v>115</v>
      </c>
      <c r="B47" s="27">
        <v>43214</v>
      </c>
      <c r="C47" s="27">
        <v>45879</v>
      </c>
      <c r="D47" s="4">
        <v>5157800</v>
      </c>
      <c r="E47" s="4">
        <v>1655700</v>
      </c>
      <c r="F47" s="56">
        <v>916</v>
      </c>
      <c r="G47" s="6">
        <v>1043</v>
      </c>
      <c r="H47" s="63"/>
      <c r="I47" s="90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4"/>
    </row>
    <row r="48" spans="1:27" x14ac:dyDescent="0.25">
      <c r="A48"/>
      <c r="B48" s="25"/>
      <c r="C48"/>
      <c r="D48"/>
      <c r="E48"/>
      <c r="F48"/>
      <c r="G48" s="3"/>
      <c r="H48" s="3"/>
      <c r="I48" s="92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spans="1:9" x14ac:dyDescent="0.25">
      <c r="A49"/>
      <c r="B49" s="25"/>
      <c r="C49" s="92"/>
      <c r="D49" s="41"/>
      <c r="E49" s="41"/>
      <c r="F49"/>
      <c r="G49" s="3"/>
      <c r="H49" s="3"/>
      <c r="I49" s="92"/>
    </row>
    <row r="50" spans="1:9" x14ac:dyDescent="0.25">
      <c r="A50"/>
      <c r="B50" s="25"/>
      <c r="C50" s="41"/>
      <c r="D50"/>
      <c r="E50"/>
      <c r="F50"/>
      <c r="G50" s="3"/>
      <c r="H50" s="3"/>
      <c r="I50" s="92"/>
    </row>
    <row r="51" spans="1:9" x14ac:dyDescent="0.25">
      <c r="A51"/>
      <c r="B51" s="25"/>
      <c r="C51"/>
      <c r="D51"/>
      <c r="E51"/>
      <c r="F51"/>
      <c r="G51" s="3"/>
      <c r="H51" s="3"/>
      <c r="I51" s="92"/>
    </row>
    <row r="52" spans="1:9" x14ac:dyDescent="0.25">
      <c r="A52"/>
      <c r="B52" s="24" t="s">
        <v>207</v>
      </c>
      <c r="C52"/>
      <c r="D52"/>
      <c r="E52"/>
      <c r="F52"/>
      <c r="G52"/>
      <c r="H52"/>
      <c r="I52" s="92"/>
    </row>
    <row r="53" spans="1:9" x14ac:dyDescent="0.25">
      <c r="A53"/>
      <c r="B53"/>
      <c r="C53"/>
      <c r="D53"/>
      <c r="E53"/>
      <c r="F53"/>
      <c r="G53"/>
      <c r="H53"/>
      <c r="I53" s="92"/>
    </row>
    <row r="54" spans="1:9" x14ac:dyDescent="0.25">
      <c r="A54"/>
      <c r="B54" s="24" t="s">
        <v>201</v>
      </c>
      <c r="C54"/>
      <c r="D54"/>
      <c r="E54"/>
      <c r="F54"/>
      <c r="G54"/>
      <c r="H54"/>
      <c r="I54" s="92"/>
    </row>
    <row r="55" spans="1:9" x14ac:dyDescent="0.25">
      <c r="A55"/>
      <c r="B55"/>
      <c r="C55"/>
      <c r="D55"/>
      <c r="E55"/>
      <c r="F55"/>
      <c r="G55"/>
      <c r="H55"/>
      <c r="I55" s="92"/>
    </row>
    <row r="56" spans="1:9" x14ac:dyDescent="0.25">
      <c r="A56"/>
      <c r="B56" s="24" t="s">
        <v>202</v>
      </c>
      <c r="C56"/>
      <c r="D56"/>
      <c r="E56"/>
      <c r="F56"/>
      <c r="G56"/>
      <c r="H56"/>
      <c r="I56" s="92"/>
    </row>
    <row r="57" spans="1:9" x14ac:dyDescent="0.25">
      <c r="A57"/>
      <c r="B57"/>
      <c r="C57"/>
      <c r="D57"/>
      <c r="E57"/>
      <c r="F57"/>
      <c r="G57"/>
      <c r="H57"/>
      <c r="I57" s="92"/>
    </row>
    <row r="58" spans="1:9" x14ac:dyDescent="0.25">
      <c r="A58"/>
      <c r="B58" s="24" t="s">
        <v>205</v>
      </c>
      <c r="C58"/>
      <c r="D58"/>
      <c r="E58"/>
      <c r="F58"/>
      <c r="G58"/>
      <c r="H58"/>
      <c r="I58" s="92"/>
    </row>
    <row r="59" spans="1:9" x14ac:dyDescent="0.25">
      <c r="A59"/>
      <c r="B59"/>
      <c r="C59"/>
      <c r="D59"/>
      <c r="E59"/>
      <c r="F59"/>
      <c r="G59"/>
      <c r="H59"/>
      <c r="I59" s="92"/>
    </row>
    <row r="60" spans="1:9" x14ac:dyDescent="0.25">
      <c r="A60"/>
      <c r="B60" s="24" t="s">
        <v>204</v>
      </c>
      <c r="C60"/>
      <c r="D60"/>
      <c r="E60"/>
      <c r="F60"/>
      <c r="G60"/>
      <c r="H60"/>
      <c r="I60" s="92"/>
    </row>
    <row r="61" spans="1:9" x14ac:dyDescent="0.25">
      <c r="A61"/>
      <c r="B61"/>
      <c r="C61"/>
      <c r="D61"/>
      <c r="E61"/>
      <c r="F61"/>
      <c r="G61"/>
      <c r="H61"/>
      <c r="I61" s="92"/>
    </row>
    <row r="62" spans="1:9" x14ac:dyDescent="0.25">
      <c r="A62"/>
      <c r="B62" s="24" t="s">
        <v>206</v>
      </c>
      <c r="C62"/>
      <c r="D62"/>
      <c r="E62"/>
      <c r="F62"/>
      <c r="G62"/>
      <c r="H62"/>
      <c r="I62" s="92"/>
    </row>
    <row r="63" spans="1:9" x14ac:dyDescent="0.25">
      <c r="A63"/>
      <c r="B63" s="25"/>
      <c r="C63"/>
      <c r="D63"/>
      <c r="E63"/>
      <c r="F63"/>
      <c r="G63" s="3"/>
      <c r="H63" s="3"/>
      <c r="I63" s="92"/>
    </row>
    <row r="64" spans="1:9" x14ac:dyDescent="0.25">
      <c r="A64"/>
      <c r="B64" s="25"/>
      <c r="C64"/>
      <c r="D64"/>
      <c r="E64"/>
      <c r="F64"/>
      <c r="G64" s="3"/>
      <c r="H64" s="3"/>
      <c r="I64" s="92"/>
    </row>
    <row r="65" spans="1:9" x14ac:dyDescent="0.25">
      <c r="A65"/>
      <c r="B65" s="25"/>
      <c r="C65"/>
      <c r="D65"/>
      <c r="E65"/>
      <c r="F65"/>
      <c r="G65" s="3"/>
      <c r="H65" s="3"/>
      <c r="I65" s="92"/>
    </row>
    <row r="66" spans="1:9" x14ac:dyDescent="0.25">
      <c r="A66"/>
      <c r="B66" s="25"/>
      <c r="C66"/>
      <c r="D66"/>
      <c r="E66"/>
      <c r="F66"/>
      <c r="G66" s="3"/>
      <c r="H66" s="3"/>
      <c r="I66" s="92"/>
    </row>
    <row r="67" spans="1:9" x14ac:dyDescent="0.25">
      <c r="A67"/>
      <c r="B67" s="25"/>
      <c r="C67"/>
      <c r="D67"/>
      <c r="E67"/>
      <c r="F67"/>
      <c r="G67" s="3"/>
      <c r="H67" s="3"/>
      <c r="I67" s="92"/>
    </row>
    <row r="68" spans="1:9" x14ac:dyDescent="0.25">
      <c r="A68"/>
      <c r="B68" s="25"/>
      <c r="C68"/>
      <c r="D68"/>
      <c r="E68"/>
      <c r="F68"/>
      <c r="G68" s="3"/>
      <c r="H68" s="3"/>
      <c r="I68" s="92"/>
    </row>
    <row r="69" spans="1:9" x14ac:dyDescent="0.25">
      <c r="A69"/>
      <c r="B69" s="25"/>
      <c r="C69"/>
      <c r="D69"/>
      <c r="E69"/>
      <c r="F69"/>
      <c r="G69" s="3"/>
      <c r="H69" s="3"/>
      <c r="I69" s="92"/>
    </row>
    <row r="70" spans="1:9" x14ac:dyDescent="0.25">
      <c r="A70"/>
      <c r="B70" s="25"/>
      <c r="C70"/>
      <c r="D70"/>
      <c r="E70"/>
      <c r="F70"/>
      <c r="G70" s="3"/>
      <c r="H70" s="3"/>
      <c r="I70" s="92"/>
    </row>
    <row r="71" spans="1:9" x14ac:dyDescent="0.25">
      <c r="A71"/>
      <c r="B71" s="25"/>
      <c r="C71"/>
      <c r="D71"/>
      <c r="E71"/>
      <c r="F71"/>
      <c r="G71" s="3"/>
      <c r="H71" s="3"/>
      <c r="I71" s="92"/>
    </row>
    <row r="72" spans="1:9" x14ac:dyDescent="0.25">
      <c r="A72"/>
      <c r="B72" s="25"/>
      <c r="C72"/>
      <c r="D72"/>
      <c r="E72"/>
      <c r="F72"/>
      <c r="G72" s="3"/>
      <c r="H72" s="3"/>
      <c r="I72" s="92"/>
    </row>
    <row r="73" spans="1:9" x14ac:dyDescent="0.25">
      <c r="A73"/>
      <c r="B73" s="25"/>
      <c r="C73"/>
      <c r="D73"/>
      <c r="E73"/>
      <c r="F73"/>
      <c r="G73" s="3"/>
      <c r="H73" s="3"/>
      <c r="I73" s="92"/>
    </row>
    <row r="74" spans="1:9" x14ac:dyDescent="0.25">
      <c r="A74"/>
      <c r="B74" s="25"/>
      <c r="C74"/>
      <c r="D74"/>
      <c r="E74"/>
      <c r="F74"/>
      <c r="G74" s="3"/>
      <c r="H74" s="3"/>
      <c r="I74" s="92"/>
    </row>
    <row r="75" spans="1:9" x14ac:dyDescent="0.25">
      <c r="A75"/>
      <c r="B75" s="25"/>
      <c r="C75"/>
      <c r="D75"/>
      <c r="E75"/>
      <c r="F75"/>
      <c r="G75" s="3"/>
      <c r="H75" s="3"/>
      <c r="I75" s="92"/>
    </row>
    <row r="76" spans="1:9" x14ac:dyDescent="0.25">
      <c r="A76"/>
      <c r="B76" s="25"/>
      <c r="C76"/>
      <c r="D76"/>
      <c r="E76"/>
      <c r="F76"/>
      <c r="G76" s="3"/>
      <c r="H76" s="3"/>
      <c r="I76" s="92"/>
    </row>
    <row r="77" spans="1:9" x14ac:dyDescent="0.25">
      <c r="A77"/>
      <c r="B77" s="25"/>
      <c r="C77"/>
      <c r="D77"/>
      <c r="E77"/>
      <c r="F77"/>
      <c r="G77" s="3"/>
      <c r="H77" s="3"/>
      <c r="I77" s="92"/>
    </row>
    <row r="78" spans="1:9" x14ac:dyDescent="0.25">
      <c r="A78"/>
      <c r="B78" s="25"/>
      <c r="C78"/>
      <c r="D78"/>
      <c r="E78"/>
      <c r="F78"/>
      <c r="G78" s="3"/>
      <c r="H78" s="3"/>
      <c r="I78" s="92"/>
    </row>
    <row r="79" spans="1:9" x14ac:dyDescent="0.25">
      <c r="A79"/>
      <c r="B79" s="25"/>
      <c r="C79"/>
      <c r="D79"/>
      <c r="E79"/>
      <c r="F79"/>
      <c r="G79" s="3"/>
      <c r="H79" s="3"/>
      <c r="I79" s="92"/>
    </row>
    <row r="80" spans="1:9" x14ac:dyDescent="0.25">
      <c r="A80"/>
      <c r="B80" s="25"/>
      <c r="C80"/>
      <c r="D80"/>
      <c r="E80"/>
      <c r="F80"/>
      <c r="G80" s="3"/>
      <c r="H80" s="3"/>
      <c r="I80" s="92"/>
    </row>
    <row r="81" spans="1:9" x14ac:dyDescent="0.25">
      <c r="A81"/>
      <c r="B81" s="25"/>
      <c r="C81"/>
      <c r="D81"/>
      <c r="E81"/>
      <c r="F81"/>
      <c r="G81" s="3"/>
      <c r="H81" s="3"/>
      <c r="I81" s="92"/>
    </row>
    <row r="82" spans="1:9" x14ac:dyDescent="0.25">
      <c r="A82"/>
      <c r="B82" s="25"/>
      <c r="C82"/>
      <c r="D82"/>
      <c r="E82"/>
      <c r="F82"/>
      <c r="G82" s="3"/>
      <c r="H82" s="3"/>
      <c r="I82" s="92"/>
    </row>
    <row r="83" spans="1:9" x14ac:dyDescent="0.25">
      <c r="A83"/>
      <c r="B83" s="25"/>
      <c r="C83"/>
      <c r="D83"/>
      <c r="E83"/>
      <c r="F83"/>
      <c r="G83" s="3"/>
      <c r="H83" s="3"/>
      <c r="I83" s="92"/>
    </row>
    <row r="84" spans="1:9" x14ac:dyDescent="0.25">
      <c r="A84"/>
      <c r="B84" s="25"/>
      <c r="C84"/>
      <c r="D84"/>
      <c r="E84"/>
      <c r="F84"/>
      <c r="G84" s="3"/>
      <c r="H84" s="3"/>
      <c r="I84" s="92"/>
    </row>
    <row r="85" spans="1:9" x14ac:dyDescent="0.25">
      <c r="A85"/>
      <c r="B85" s="25"/>
      <c r="C85"/>
      <c r="D85"/>
      <c r="E85"/>
      <c r="F85"/>
      <c r="G85" s="3"/>
      <c r="H85" s="3"/>
      <c r="I85" s="92"/>
    </row>
    <row r="86" spans="1:9" x14ac:dyDescent="0.25">
      <c r="A86"/>
      <c r="B86" s="25"/>
      <c r="C86"/>
      <c r="D86"/>
      <c r="E86"/>
      <c r="F86"/>
      <c r="G86" s="3"/>
      <c r="H86" s="3"/>
      <c r="I86" s="92"/>
    </row>
    <row r="87" spans="1:9" x14ac:dyDescent="0.25">
      <c r="A87"/>
      <c r="B87" s="25"/>
      <c r="C87"/>
      <c r="D87"/>
      <c r="E87"/>
      <c r="F87"/>
      <c r="G87" s="3"/>
      <c r="H87" s="3"/>
      <c r="I87" s="92"/>
    </row>
    <row r="88" spans="1:9" x14ac:dyDescent="0.25">
      <c r="A88"/>
      <c r="B88" s="25"/>
      <c r="C88"/>
      <c r="D88"/>
      <c r="E88"/>
      <c r="F88"/>
      <c r="G88" s="3"/>
      <c r="H88" s="3"/>
      <c r="I88" s="92"/>
    </row>
    <row r="89" spans="1:9" x14ac:dyDescent="0.25">
      <c r="A89"/>
      <c r="B89" s="25"/>
      <c r="C89"/>
      <c r="D89"/>
      <c r="E89"/>
      <c r="F89"/>
      <c r="G89" s="3"/>
      <c r="H89" s="3"/>
      <c r="I89" s="92"/>
    </row>
    <row r="90" spans="1:9" x14ac:dyDescent="0.25">
      <c r="A90"/>
      <c r="B90" s="25"/>
      <c r="C90"/>
      <c r="D90"/>
      <c r="E90"/>
      <c r="F90"/>
      <c r="G90" s="3"/>
      <c r="H90" s="3"/>
      <c r="I90" s="92"/>
    </row>
    <row r="91" spans="1:9" x14ac:dyDescent="0.25">
      <c r="A91"/>
      <c r="B91" s="25"/>
      <c r="C91"/>
      <c r="D91"/>
      <c r="E91"/>
      <c r="F91"/>
      <c r="G91" s="3"/>
      <c r="H91" s="3"/>
      <c r="I91" s="92"/>
    </row>
    <row r="92" spans="1:9" x14ac:dyDescent="0.25">
      <c r="A92"/>
      <c r="B92" s="25"/>
      <c r="C92"/>
      <c r="D92"/>
      <c r="E92"/>
      <c r="F92"/>
      <c r="G92" s="3"/>
      <c r="H92" s="3"/>
      <c r="I92" s="92"/>
    </row>
    <row r="93" spans="1:9" x14ac:dyDescent="0.25">
      <c r="A93"/>
      <c r="B93" s="25"/>
      <c r="C93"/>
      <c r="D93"/>
      <c r="E93"/>
      <c r="F93"/>
      <c r="G93" s="3"/>
      <c r="H93" s="3"/>
      <c r="I93" s="92"/>
    </row>
    <row r="94" spans="1:9" x14ac:dyDescent="0.25">
      <c r="A94"/>
      <c r="B94" s="25"/>
      <c r="C94"/>
      <c r="D94"/>
      <c r="E94"/>
      <c r="F94"/>
      <c r="G94" s="3"/>
      <c r="H94" s="3"/>
      <c r="I94" s="92"/>
    </row>
    <row r="95" spans="1:9" x14ac:dyDescent="0.25">
      <c r="A95"/>
      <c r="B95" s="25"/>
      <c r="C95"/>
      <c r="D95"/>
      <c r="E95"/>
      <c r="F95"/>
      <c r="G95" s="3"/>
      <c r="H95" s="3"/>
      <c r="I95" s="92"/>
    </row>
    <row r="96" spans="1:9" x14ac:dyDescent="0.25">
      <c r="A96"/>
      <c r="B96" s="25"/>
      <c r="C96"/>
      <c r="D96"/>
      <c r="E96"/>
      <c r="F96"/>
      <c r="G96" s="3"/>
      <c r="H96" s="3"/>
      <c r="I96" s="92"/>
    </row>
    <row r="97" spans="1:9" x14ac:dyDescent="0.25">
      <c r="A97"/>
      <c r="B97" s="25"/>
      <c r="C97"/>
      <c r="D97"/>
      <c r="E97"/>
      <c r="F97"/>
      <c r="G97" s="3"/>
      <c r="H97" s="3"/>
      <c r="I97" s="92"/>
    </row>
    <row r="98" spans="1:9" x14ac:dyDescent="0.25">
      <c r="A98"/>
      <c r="B98" s="25"/>
      <c r="C98"/>
      <c r="D98"/>
      <c r="E98"/>
      <c r="F98"/>
      <c r="G98" s="3"/>
      <c r="H98" s="3"/>
      <c r="I98" s="92"/>
    </row>
    <row r="99" spans="1:9" x14ac:dyDescent="0.25">
      <c r="A99"/>
      <c r="B99" s="25"/>
      <c r="C99"/>
      <c r="D99"/>
      <c r="E99"/>
      <c r="F99"/>
      <c r="G99" s="3"/>
      <c r="H99" s="3"/>
      <c r="I99" s="92"/>
    </row>
    <row r="100" spans="1:9" x14ac:dyDescent="0.25">
      <c r="A100"/>
      <c r="B100" s="25"/>
      <c r="C100"/>
      <c r="D100"/>
      <c r="E100"/>
      <c r="F100"/>
      <c r="G100" s="3"/>
      <c r="H100" s="3"/>
      <c r="I100" s="92"/>
    </row>
    <row r="101" spans="1:9" x14ac:dyDescent="0.25">
      <c r="A101"/>
      <c r="B101" s="25"/>
      <c r="C101"/>
      <c r="D101"/>
      <c r="E101"/>
      <c r="F101"/>
      <c r="G101" s="3"/>
      <c r="H101" s="3"/>
      <c r="I101" s="92"/>
    </row>
    <row r="102" spans="1:9" x14ac:dyDescent="0.25">
      <c r="A102"/>
      <c r="B102" s="25"/>
      <c r="C102"/>
      <c r="D102"/>
      <c r="E102"/>
      <c r="F102"/>
      <c r="G102" s="3"/>
      <c r="H102" s="3"/>
      <c r="I102" s="92"/>
    </row>
    <row r="103" spans="1:9" x14ac:dyDescent="0.25">
      <c r="A103"/>
      <c r="B103" s="25"/>
      <c r="C103"/>
      <c r="D103"/>
      <c r="E103"/>
      <c r="F103"/>
      <c r="G103" s="3"/>
      <c r="H103" s="3"/>
      <c r="I103" s="92"/>
    </row>
    <row r="104" spans="1:9" x14ac:dyDescent="0.25">
      <c r="A104"/>
      <c r="B104" s="25"/>
      <c r="C104"/>
      <c r="D104"/>
      <c r="E104"/>
      <c r="F104"/>
      <c r="G104" s="3"/>
      <c r="H104" s="3"/>
      <c r="I104" s="92"/>
    </row>
    <row r="105" spans="1:9" x14ac:dyDescent="0.25">
      <c r="A105"/>
      <c r="B105" s="25"/>
      <c r="C105"/>
      <c r="D105"/>
      <c r="E105"/>
      <c r="F105"/>
      <c r="G105" s="3"/>
      <c r="H105" s="3"/>
    </row>
    <row r="106" spans="1:9" x14ac:dyDescent="0.25">
      <c r="A106"/>
      <c r="B106" s="25"/>
      <c r="C106"/>
      <c r="D106"/>
      <c r="E106"/>
      <c r="F106"/>
      <c r="G106" s="3"/>
      <c r="H106" s="3"/>
    </row>
    <row r="107" spans="1:9" x14ac:dyDescent="0.25">
      <c r="A107"/>
      <c r="B107" s="25"/>
      <c r="C107"/>
      <c r="D107"/>
      <c r="E107"/>
      <c r="F107"/>
      <c r="G107" s="3"/>
      <c r="H107" s="3"/>
    </row>
    <row r="108" spans="1:9" x14ac:dyDescent="0.25">
      <c r="A108"/>
      <c r="B108" s="25"/>
      <c r="C108"/>
      <c r="D108"/>
      <c r="E108"/>
      <c r="F108"/>
      <c r="G108" s="3"/>
      <c r="H108" s="3"/>
    </row>
    <row r="109" spans="1:9" x14ac:dyDescent="0.25">
      <c r="A109"/>
      <c r="B109" s="25"/>
      <c r="C109"/>
      <c r="D109"/>
      <c r="E109"/>
      <c r="F109"/>
      <c r="G109" s="3"/>
      <c r="H109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topLeftCell="A26" workbookViewId="0">
      <selection activeCell="I45" sqref="I45"/>
    </sheetView>
  </sheetViews>
  <sheetFormatPr defaultRowHeight="15" x14ac:dyDescent="0.25"/>
  <cols>
    <col min="1" max="1" width="15.140625" style="5" bestFit="1" customWidth="1"/>
    <col min="2" max="2" width="17.7109375" style="26" customWidth="1"/>
    <col min="3" max="3" width="10.5703125" style="26" customWidth="1"/>
    <col min="4" max="4" width="12.42578125" style="26" customWidth="1"/>
    <col min="5" max="5" width="10.5703125" style="26" customWidth="1"/>
    <col min="6" max="6" width="7.42578125" style="26" customWidth="1"/>
    <col min="7" max="7" width="10.5703125" style="26" customWidth="1"/>
    <col min="8" max="8" width="8.5703125" style="26" customWidth="1"/>
    <col min="9" max="9" width="11.28515625" style="26" bestFit="1" customWidth="1"/>
    <col min="10" max="16384" width="9.140625" style="5"/>
  </cols>
  <sheetData>
    <row r="1" spans="1:9" x14ac:dyDescent="0.25">
      <c r="A1" s="16" t="s">
        <v>11</v>
      </c>
      <c r="B1" s="27" t="s">
        <v>154</v>
      </c>
    </row>
    <row r="3" spans="1:9" x14ac:dyDescent="0.25">
      <c r="A3" s="16" t="s">
        <v>152</v>
      </c>
      <c r="B3" s="65" t="s">
        <v>151</v>
      </c>
      <c r="C3" s="27"/>
      <c r="D3" s="27"/>
      <c r="E3" s="27"/>
      <c r="F3" s="27"/>
      <c r="G3" s="27"/>
      <c r="H3" s="27"/>
      <c r="I3" s="27"/>
    </row>
    <row r="4" spans="1:9" x14ac:dyDescent="0.25">
      <c r="A4" s="16" t="s">
        <v>114</v>
      </c>
      <c r="B4" s="27" t="s">
        <v>118</v>
      </c>
      <c r="C4" s="27" t="s">
        <v>119</v>
      </c>
      <c r="D4" s="5" t="s">
        <v>117</v>
      </c>
      <c r="E4" s="5" t="s">
        <v>121</v>
      </c>
      <c r="F4" s="5" t="s">
        <v>120</v>
      </c>
      <c r="G4" s="5" t="s">
        <v>116</v>
      </c>
      <c r="H4" s="5" t="s">
        <v>122</v>
      </c>
      <c r="I4" s="5" t="s">
        <v>115</v>
      </c>
    </row>
    <row r="5" spans="1:9" x14ac:dyDescent="0.25">
      <c r="A5" s="17">
        <v>2022</v>
      </c>
      <c r="B5" s="27">
        <v>2186</v>
      </c>
      <c r="C5" s="27">
        <v>2065</v>
      </c>
      <c r="D5" s="27">
        <v>1679</v>
      </c>
      <c r="E5" s="6">
        <v>3672</v>
      </c>
      <c r="F5" s="6">
        <v>7260</v>
      </c>
      <c r="G5" s="6">
        <v>1302</v>
      </c>
      <c r="H5" s="6">
        <v>135</v>
      </c>
      <c r="I5" s="27">
        <v>18299</v>
      </c>
    </row>
    <row r="6" spans="1:9" x14ac:dyDescent="0.25">
      <c r="A6" s="18" t="s">
        <v>123</v>
      </c>
      <c r="B6" s="27">
        <v>500</v>
      </c>
      <c r="C6" s="27"/>
      <c r="D6" s="27">
        <v>300</v>
      </c>
      <c r="E6" s="6"/>
      <c r="F6" s="6"/>
      <c r="G6" s="6">
        <v>474</v>
      </c>
      <c r="H6" s="6"/>
      <c r="I6" s="27">
        <v>1274</v>
      </c>
    </row>
    <row r="7" spans="1:9" x14ac:dyDescent="0.25">
      <c r="A7" s="18" t="s">
        <v>124</v>
      </c>
      <c r="B7" s="27">
        <v>12</v>
      </c>
      <c r="C7" s="27">
        <v>575</v>
      </c>
      <c r="D7" s="27">
        <v>400</v>
      </c>
      <c r="E7" s="6">
        <v>130</v>
      </c>
      <c r="F7" s="6">
        <v>150</v>
      </c>
      <c r="G7" s="6">
        <v>16</v>
      </c>
      <c r="H7" s="6"/>
      <c r="I7" s="27">
        <v>1283</v>
      </c>
    </row>
    <row r="8" spans="1:9" x14ac:dyDescent="0.25">
      <c r="A8" s="18" t="s">
        <v>125</v>
      </c>
      <c r="B8" s="27">
        <v>200</v>
      </c>
      <c r="C8" s="27"/>
      <c r="D8" s="27"/>
      <c r="E8" s="6">
        <v>2</v>
      </c>
      <c r="F8" s="6">
        <v>500</v>
      </c>
      <c r="G8" s="6">
        <v>100</v>
      </c>
      <c r="H8" s="6"/>
      <c r="I8" s="27">
        <v>802</v>
      </c>
    </row>
    <row r="9" spans="1:9" x14ac:dyDescent="0.25">
      <c r="A9" s="18" t="s">
        <v>126</v>
      </c>
      <c r="B9" s="27"/>
      <c r="C9" s="27"/>
      <c r="D9" s="27"/>
      <c r="E9" s="6">
        <v>1200</v>
      </c>
      <c r="F9" s="6">
        <v>200</v>
      </c>
      <c r="G9" s="6">
        <v>160</v>
      </c>
      <c r="H9" s="6"/>
      <c r="I9" s="27">
        <v>1560</v>
      </c>
    </row>
    <row r="10" spans="1:9" x14ac:dyDescent="0.25">
      <c r="A10" s="18" t="s">
        <v>127</v>
      </c>
      <c r="B10" s="27">
        <v>266</v>
      </c>
      <c r="C10" s="27">
        <v>50</v>
      </c>
      <c r="D10" s="27"/>
      <c r="E10" s="6">
        <v>60</v>
      </c>
      <c r="F10" s="6"/>
      <c r="G10" s="6"/>
      <c r="H10" s="6"/>
      <c r="I10" s="27">
        <v>376</v>
      </c>
    </row>
    <row r="11" spans="1:9" x14ac:dyDescent="0.25">
      <c r="A11" s="18" t="s">
        <v>128</v>
      </c>
      <c r="B11" s="27">
        <v>80</v>
      </c>
      <c r="C11" s="27">
        <v>40</v>
      </c>
      <c r="D11" s="27"/>
      <c r="E11" s="6">
        <v>150</v>
      </c>
      <c r="F11" s="6">
        <v>400</v>
      </c>
      <c r="G11" s="6">
        <v>36</v>
      </c>
      <c r="H11" s="6"/>
      <c r="I11" s="27">
        <v>706</v>
      </c>
    </row>
    <row r="12" spans="1:9" x14ac:dyDescent="0.25">
      <c r="A12" s="18" t="s">
        <v>129</v>
      </c>
      <c r="B12" s="27"/>
      <c r="C12" s="27"/>
      <c r="D12" s="27">
        <v>100</v>
      </c>
      <c r="E12" s="6"/>
      <c r="F12" s="6"/>
      <c r="G12" s="6">
        <v>500</v>
      </c>
      <c r="H12" s="6"/>
      <c r="I12" s="27">
        <v>600</v>
      </c>
    </row>
    <row r="13" spans="1:9" x14ac:dyDescent="0.25">
      <c r="A13" s="18" t="s">
        <v>130</v>
      </c>
      <c r="B13" s="27"/>
      <c r="C13" s="27"/>
      <c r="D13" s="27"/>
      <c r="E13" s="6"/>
      <c r="F13" s="6">
        <v>4600</v>
      </c>
      <c r="G13" s="6"/>
      <c r="H13" s="6"/>
      <c r="I13" s="27">
        <v>4600</v>
      </c>
    </row>
    <row r="14" spans="1:9" x14ac:dyDescent="0.25">
      <c r="A14" s="18" t="s">
        <v>131</v>
      </c>
      <c r="B14" s="27">
        <v>278</v>
      </c>
      <c r="C14" s="27">
        <v>50</v>
      </c>
      <c r="D14" s="27">
        <v>510</v>
      </c>
      <c r="E14" s="6"/>
      <c r="F14" s="6">
        <v>100</v>
      </c>
      <c r="G14" s="6">
        <v>16</v>
      </c>
      <c r="H14" s="6"/>
      <c r="I14" s="27">
        <v>954</v>
      </c>
    </row>
    <row r="15" spans="1:9" x14ac:dyDescent="0.25">
      <c r="A15" s="18" t="s">
        <v>132</v>
      </c>
      <c r="B15" s="27">
        <v>600</v>
      </c>
      <c r="C15" s="27">
        <v>1000</v>
      </c>
      <c r="D15" s="27"/>
      <c r="E15" s="6">
        <v>1280</v>
      </c>
      <c r="F15" s="6">
        <v>580</v>
      </c>
      <c r="G15" s="6"/>
      <c r="H15" s="6"/>
      <c r="I15" s="27">
        <v>3460</v>
      </c>
    </row>
    <row r="16" spans="1:9" x14ac:dyDescent="0.25">
      <c r="A16" s="18" t="s">
        <v>133</v>
      </c>
      <c r="B16" s="27">
        <v>150</v>
      </c>
      <c r="C16" s="27">
        <v>250</v>
      </c>
      <c r="D16" s="27">
        <v>150</v>
      </c>
      <c r="E16" s="6">
        <v>600</v>
      </c>
      <c r="F16" s="6"/>
      <c r="G16" s="6"/>
      <c r="H16" s="6"/>
      <c r="I16" s="27">
        <v>1150</v>
      </c>
    </row>
    <row r="17" spans="1:9" x14ac:dyDescent="0.25">
      <c r="A17" s="18" t="s">
        <v>134</v>
      </c>
      <c r="B17" s="27">
        <v>100</v>
      </c>
      <c r="C17" s="27">
        <v>100</v>
      </c>
      <c r="D17" s="27">
        <v>219</v>
      </c>
      <c r="E17" s="6">
        <v>250</v>
      </c>
      <c r="F17" s="6">
        <v>730</v>
      </c>
      <c r="G17" s="6"/>
      <c r="H17" s="6">
        <v>135</v>
      </c>
      <c r="I17" s="27">
        <v>1534</v>
      </c>
    </row>
    <row r="18" spans="1:9" x14ac:dyDescent="0.25">
      <c r="A18" s="17">
        <v>2023</v>
      </c>
      <c r="B18" s="27">
        <v>2882</v>
      </c>
      <c r="C18" s="27">
        <v>3185</v>
      </c>
      <c r="D18" s="27">
        <v>5563</v>
      </c>
      <c r="E18" s="6">
        <v>2043</v>
      </c>
      <c r="F18" s="6">
        <v>1459</v>
      </c>
      <c r="G18" s="6">
        <v>1400</v>
      </c>
      <c r="H18" s="6">
        <v>90</v>
      </c>
      <c r="I18" s="27">
        <v>16622</v>
      </c>
    </row>
    <row r="19" spans="1:9" x14ac:dyDescent="0.25">
      <c r="A19" s="18" t="s">
        <v>123</v>
      </c>
      <c r="B19" s="27">
        <v>100</v>
      </c>
      <c r="C19" s="27">
        <v>400</v>
      </c>
      <c r="D19" s="27">
        <v>400</v>
      </c>
      <c r="E19" s="6">
        <v>16</v>
      </c>
      <c r="F19" s="6">
        <v>34</v>
      </c>
      <c r="G19" s="6"/>
      <c r="H19" s="6"/>
      <c r="I19" s="27">
        <v>950</v>
      </c>
    </row>
    <row r="20" spans="1:9" x14ac:dyDescent="0.25">
      <c r="A20" s="18" t="s">
        <v>125</v>
      </c>
      <c r="B20" s="27">
        <v>1016</v>
      </c>
      <c r="C20" s="27"/>
      <c r="D20" s="27">
        <v>15</v>
      </c>
      <c r="E20" s="6">
        <v>360</v>
      </c>
      <c r="F20" s="6">
        <v>225</v>
      </c>
      <c r="G20" s="6"/>
      <c r="H20" s="6"/>
      <c r="I20" s="27">
        <v>1616</v>
      </c>
    </row>
    <row r="21" spans="1:9" x14ac:dyDescent="0.25">
      <c r="A21" s="18" t="s">
        <v>126</v>
      </c>
      <c r="B21" s="27">
        <v>40</v>
      </c>
      <c r="C21" s="27">
        <v>600</v>
      </c>
      <c r="D21" s="27">
        <v>2516</v>
      </c>
      <c r="E21" s="6"/>
      <c r="F21" s="6"/>
      <c r="G21" s="6">
        <v>225</v>
      </c>
      <c r="H21" s="6"/>
      <c r="I21" s="27">
        <v>3381</v>
      </c>
    </row>
    <row r="22" spans="1:9" x14ac:dyDescent="0.25">
      <c r="A22" s="18" t="s">
        <v>127</v>
      </c>
      <c r="B22" s="27">
        <v>50</v>
      </c>
      <c r="C22" s="27">
        <v>715</v>
      </c>
      <c r="D22" s="27">
        <v>877</v>
      </c>
      <c r="E22" s="6"/>
      <c r="F22" s="6"/>
      <c r="G22" s="6"/>
      <c r="H22" s="6"/>
      <c r="I22" s="27">
        <v>1642</v>
      </c>
    </row>
    <row r="23" spans="1:9" x14ac:dyDescent="0.25">
      <c r="A23" s="18" t="s">
        <v>128</v>
      </c>
      <c r="B23" s="27">
        <v>200</v>
      </c>
      <c r="C23" s="27"/>
      <c r="D23" s="27">
        <v>100</v>
      </c>
      <c r="E23" s="6">
        <v>430</v>
      </c>
      <c r="F23" s="6"/>
      <c r="G23" s="6">
        <v>130</v>
      </c>
      <c r="H23" s="6">
        <v>10</v>
      </c>
      <c r="I23" s="27">
        <v>870</v>
      </c>
    </row>
    <row r="24" spans="1:9" x14ac:dyDescent="0.25">
      <c r="A24" s="18" t="s">
        <v>129</v>
      </c>
      <c r="B24" s="27">
        <v>70</v>
      </c>
      <c r="C24" s="27"/>
      <c r="D24" s="27"/>
      <c r="E24" s="6"/>
      <c r="F24" s="6">
        <v>200</v>
      </c>
      <c r="G24" s="6">
        <v>200</v>
      </c>
      <c r="H24" s="6"/>
      <c r="I24" s="27">
        <v>470</v>
      </c>
    </row>
    <row r="25" spans="1:9" x14ac:dyDescent="0.25">
      <c r="A25" s="18" t="s">
        <v>130</v>
      </c>
      <c r="B25" s="27">
        <v>180</v>
      </c>
      <c r="C25" s="27"/>
      <c r="D25" s="27"/>
      <c r="E25" s="6">
        <v>180</v>
      </c>
      <c r="F25" s="6"/>
      <c r="G25" s="6"/>
      <c r="H25" s="6">
        <v>80</v>
      </c>
      <c r="I25" s="27">
        <v>440</v>
      </c>
    </row>
    <row r="26" spans="1:9" x14ac:dyDescent="0.25">
      <c r="A26" s="18" t="s">
        <v>131</v>
      </c>
      <c r="B26" s="27">
        <v>800</v>
      </c>
      <c r="C26" s="27">
        <v>320</v>
      </c>
      <c r="D26" s="27"/>
      <c r="E26" s="6"/>
      <c r="F26" s="6">
        <v>800</v>
      </c>
      <c r="G26" s="6">
        <v>8</v>
      </c>
      <c r="H26" s="6"/>
      <c r="I26" s="27">
        <v>1928</v>
      </c>
    </row>
    <row r="27" spans="1:9" x14ac:dyDescent="0.25">
      <c r="A27" s="18" t="s">
        <v>132</v>
      </c>
      <c r="B27" s="27">
        <v>376</v>
      </c>
      <c r="C27" s="27">
        <v>900</v>
      </c>
      <c r="D27" s="27">
        <v>950</v>
      </c>
      <c r="E27" s="6">
        <v>175</v>
      </c>
      <c r="F27" s="6"/>
      <c r="G27" s="6">
        <v>437</v>
      </c>
      <c r="H27" s="6"/>
      <c r="I27" s="27">
        <v>2838</v>
      </c>
    </row>
    <row r="28" spans="1:9" x14ac:dyDescent="0.25">
      <c r="A28" s="18" t="s">
        <v>133</v>
      </c>
      <c r="B28" s="27">
        <v>50</v>
      </c>
      <c r="C28" s="27">
        <v>250</v>
      </c>
      <c r="D28" s="27">
        <v>100</v>
      </c>
      <c r="E28" s="6">
        <v>332</v>
      </c>
      <c r="F28" s="6"/>
      <c r="G28" s="6">
        <v>250</v>
      </c>
      <c r="H28" s="6"/>
      <c r="I28" s="27">
        <v>982</v>
      </c>
    </row>
    <row r="29" spans="1:9" x14ac:dyDescent="0.25">
      <c r="A29" s="18" t="s">
        <v>134</v>
      </c>
      <c r="B29" s="27"/>
      <c r="C29" s="27"/>
      <c r="D29" s="27">
        <v>605</v>
      </c>
      <c r="E29" s="6">
        <v>550</v>
      </c>
      <c r="F29" s="6">
        <v>200</v>
      </c>
      <c r="G29" s="6">
        <v>150</v>
      </c>
      <c r="H29" s="6"/>
      <c r="I29" s="27">
        <v>1505</v>
      </c>
    </row>
    <row r="30" spans="1:9" x14ac:dyDescent="0.25">
      <c r="A30" s="17">
        <v>2024</v>
      </c>
      <c r="B30" s="27">
        <v>176</v>
      </c>
      <c r="C30" s="27">
        <v>350</v>
      </c>
      <c r="D30" s="27">
        <v>100</v>
      </c>
      <c r="E30" s="6">
        <v>962</v>
      </c>
      <c r="F30" s="6">
        <v>1085</v>
      </c>
      <c r="G30" s="6">
        <v>603</v>
      </c>
      <c r="H30" s="6"/>
      <c r="I30" s="27">
        <v>3276</v>
      </c>
    </row>
    <row r="31" spans="1:9" x14ac:dyDescent="0.25">
      <c r="A31" s="18" t="s">
        <v>123</v>
      </c>
      <c r="B31" s="27">
        <v>100</v>
      </c>
      <c r="C31" s="27">
        <v>20</v>
      </c>
      <c r="D31" s="27">
        <v>100</v>
      </c>
      <c r="E31" s="6">
        <v>500</v>
      </c>
      <c r="F31" s="6"/>
      <c r="G31" s="6"/>
      <c r="H31" s="6"/>
      <c r="I31" s="27">
        <v>720</v>
      </c>
    </row>
    <row r="32" spans="1:9" x14ac:dyDescent="0.25">
      <c r="A32" s="18" t="s">
        <v>124</v>
      </c>
      <c r="B32" s="27">
        <v>20</v>
      </c>
      <c r="C32" s="27">
        <v>50</v>
      </c>
      <c r="D32" s="27"/>
      <c r="E32" s="6">
        <v>450</v>
      </c>
      <c r="F32" s="6">
        <v>1000</v>
      </c>
      <c r="G32" s="6">
        <v>500</v>
      </c>
      <c r="H32" s="6"/>
      <c r="I32" s="27">
        <v>2020</v>
      </c>
    </row>
    <row r="33" spans="1:9" x14ac:dyDescent="0.25">
      <c r="A33" s="18" t="s">
        <v>125</v>
      </c>
      <c r="B33" s="27"/>
      <c r="C33" s="27">
        <v>250</v>
      </c>
      <c r="D33" s="27"/>
      <c r="E33" s="6">
        <v>12</v>
      </c>
      <c r="F33" s="6">
        <v>85</v>
      </c>
      <c r="G33" s="6"/>
      <c r="H33" s="6"/>
      <c r="I33" s="27">
        <v>347</v>
      </c>
    </row>
    <row r="34" spans="1:9" x14ac:dyDescent="0.25">
      <c r="A34" s="18" t="s">
        <v>126</v>
      </c>
      <c r="B34" s="27">
        <v>40</v>
      </c>
      <c r="C34" s="27">
        <v>30</v>
      </c>
      <c r="D34" s="27"/>
      <c r="E34" s="6"/>
      <c r="F34" s="6"/>
      <c r="G34" s="6">
        <v>103</v>
      </c>
      <c r="H34" s="6"/>
      <c r="I34" s="27">
        <v>173</v>
      </c>
    </row>
    <row r="35" spans="1:9" x14ac:dyDescent="0.25">
      <c r="A35" s="18" t="s">
        <v>128</v>
      </c>
      <c r="B35" s="27">
        <v>16</v>
      </c>
      <c r="C35" s="27"/>
      <c r="D35" s="27"/>
      <c r="E35" s="6"/>
      <c r="F35" s="6"/>
      <c r="G35" s="6"/>
      <c r="H35" s="6"/>
      <c r="I35" s="27">
        <v>16</v>
      </c>
    </row>
    <row r="36" spans="1:9" x14ac:dyDescent="0.25">
      <c r="A36" s="17">
        <v>2025</v>
      </c>
      <c r="B36" s="27">
        <v>645</v>
      </c>
      <c r="C36" s="27">
        <v>266</v>
      </c>
      <c r="D36" s="27">
        <v>877</v>
      </c>
      <c r="E36" s="6">
        <v>900</v>
      </c>
      <c r="F36" s="6">
        <v>529</v>
      </c>
      <c r="G36" s="6">
        <v>1776</v>
      </c>
      <c r="H36" s="6">
        <v>40</v>
      </c>
      <c r="I36" s="27">
        <v>5033</v>
      </c>
    </row>
    <row r="37" spans="1:9" x14ac:dyDescent="0.25">
      <c r="A37" s="18" t="s">
        <v>128</v>
      </c>
      <c r="B37" s="27">
        <v>625</v>
      </c>
      <c r="C37" s="27"/>
      <c r="D37" s="27"/>
      <c r="E37" s="6">
        <v>300</v>
      </c>
      <c r="F37" s="6"/>
      <c r="G37" s="6"/>
      <c r="H37" s="6"/>
      <c r="I37" s="27">
        <v>925</v>
      </c>
    </row>
    <row r="38" spans="1:9" x14ac:dyDescent="0.25">
      <c r="A38" s="18" t="s">
        <v>129</v>
      </c>
      <c r="B38" s="27"/>
      <c r="C38" s="27"/>
      <c r="D38" s="27"/>
      <c r="E38" s="6">
        <v>200</v>
      </c>
      <c r="F38" s="6"/>
      <c r="G38" s="6">
        <v>650</v>
      </c>
      <c r="H38" s="6"/>
      <c r="I38" s="27">
        <v>850</v>
      </c>
    </row>
    <row r="39" spans="1:9" x14ac:dyDescent="0.25">
      <c r="A39" s="18" t="s">
        <v>130</v>
      </c>
      <c r="B39" s="27"/>
      <c r="C39" s="27"/>
      <c r="D39" s="27">
        <v>38</v>
      </c>
      <c r="E39" s="6">
        <v>250</v>
      </c>
      <c r="F39" s="6">
        <v>24</v>
      </c>
      <c r="G39" s="6">
        <v>25</v>
      </c>
      <c r="H39" s="6">
        <v>40</v>
      </c>
      <c r="I39" s="27">
        <v>377</v>
      </c>
    </row>
    <row r="40" spans="1:9" x14ac:dyDescent="0.25">
      <c r="A40" s="18" t="s">
        <v>131</v>
      </c>
      <c r="B40" s="27"/>
      <c r="C40" s="27"/>
      <c r="D40" s="27">
        <v>500</v>
      </c>
      <c r="E40" s="6"/>
      <c r="F40" s="6">
        <v>50</v>
      </c>
      <c r="G40" s="6"/>
      <c r="H40" s="6"/>
      <c r="I40" s="27">
        <v>550</v>
      </c>
    </row>
    <row r="41" spans="1:9" x14ac:dyDescent="0.25">
      <c r="A41" s="18" t="s">
        <v>132</v>
      </c>
      <c r="B41" s="27"/>
      <c r="C41" s="27">
        <v>230</v>
      </c>
      <c r="D41" s="27">
        <v>14</v>
      </c>
      <c r="E41" s="6">
        <v>150</v>
      </c>
      <c r="F41" s="6">
        <v>20</v>
      </c>
      <c r="G41" s="6"/>
      <c r="H41" s="6"/>
      <c r="I41" s="27">
        <v>414</v>
      </c>
    </row>
    <row r="42" spans="1:9" x14ac:dyDescent="0.25">
      <c r="A42" s="18" t="s">
        <v>133</v>
      </c>
      <c r="B42" s="27"/>
      <c r="C42" s="27"/>
      <c r="D42" s="27"/>
      <c r="E42" s="6"/>
      <c r="F42" s="6">
        <v>30</v>
      </c>
      <c r="G42" s="6">
        <v>1101</v>
      </c>
      <c r="H42" s="6"/>
      <c r="I42" s="27">
        <v>1131</v>
      </c>
    </row>
    <row r="43" spans="1:9" x14ac:dyDescent="0.25">
      <c r="A43" s="18" t="s">
        <v>134</v>
      </c>
      <c r="B43" s="27">
        <v>20</v>
      </c>
      <c r="C43" s="27">
        <v>36</v>
      </c>
      <c r="D43" s="27">
        <v>325</v>
      </c>
      <c r="E43" s="6"/>
      <c r="F43" s="6">
        <v>405</v>
      </c>
      <c r="G43" s="6"/>
      <c r="H43" s="6"/>
      <c r="I43" s="27">
        <v>786</v>
      </c>
    </row>
    <row r="44" spans="1:9" x14ac:dyDescent="0.25">
      <c r="A44" s="17" t="s">
        <v>115</v>
      </c>
      <c r="B44" s="27">
        <v>5889</v>
      </c>
      <c r="C44" s="27">
        <v>5866</v>
      </c>
      <c r="D44" s="27">
        <v>8219</v>
      </c>
      <c r="E44" s="6">
        <v>7577</v>
      </c>
      <c r="F44" s="6">
        <v>10333</v>
      </c>
      <c r="G44" s="6">
        <v>5081</v>
      </c>
      <c r="H44" s="6">
        <v>265</v>
      </c>
      <c r="I44" s="27">
        <v>43230</v>
      </c>
    </row>
    <row r="45" spans="1:9" x14ac:dyDescent="0.25">
      <c r="A45"/>
      <c r="B45" s="25"/>
      <c r="C45" s="25"/>
      <c r="D45" s="25"/>
      <c r="E45" s="25"/>
      <c r="F45" s="25"/>
      <c r="G45" s="25"/>
      <c r="H45" s="25"/>
      <c r="I45" s="25"/>
    </row>
    <row r="46" spans="1:9" x14ac:dyDescent="0.25">
      <c r="A46"/>
      <c r="B46" s="25"/>
      <c r="C46" s="25"/>
      <c r="D46" s="25"/>
      <c r="E46" s="25"/>
      <c r="F46" s="25"/>
      <c r="G46" s="25"/>
      <c r="H46" s="25"/>
      <c r="I46" s="25"/>
    </row>
    <row r="47" spans="1:9" x14ac:dyDescent="0.25">
      <c r="A47"/>
      <c r="B47" s="25"/>
      <c r="C47" s="25"/>
      <c r="D47" s="25"/>
      <c r="E47" s="25"/>
      <c r="F47" s="25"/>
      <c r="G47" s="25"/>
      <c r="H47" s="25"/>
      <c r="I47" s="25"/>
    </row>
    <row r="48" spans="1:9" x14ac:dyDescent="0.25">
      <c r="A48"/>
      <c r="B48" s="25"/>
      <c r="C48" s="25"/>
      <c r="D48" s="25"/>
      <c r="E48" s="25"/>
      <c r="F48" s="25"/>
      <c r="G48" s="25"/>
      <c r="H48" s="25"/>
      <c r="I48" s="25"/>
    </row>
    <row r="49" spans="1:9" x14ac:dyDescent="0.25">
      <c r="A49"/>
      <c r="B49" s="25"/>
      <c r="C49" s="25"/>
      <c r="D49" s="25"/>
      <c r="E49" s="25"/>
      <c r="F49" s="25"/>
      <c r="G49" s="25"/>
      <c r="H49" s="25"/>
      <c r="I49" s="25"/>
    </row>
    <row r="50" spans="1:9" x14ac:dyDescent="0.25">
      <c r="A50"/>
      <c r="B50" s="25"/>
      <c r="C50" s="25"/>
      <c r="D50" s="25"/>
      <c r="E50" s="25"/>
      <c r="F50" s="25"/>
      <c r="G50" s="25"/>
      <c r="H50" s="25"/>
      <c r="I50" s="25"/>
    </row>
    <row r="51" spans="1:9" x14ac:dyDescent="0.25">
      <c r="A51"/>
      <c r="B51" s="25"/>
      <c r="C51" s="25"/>
      <c r="D51" s="25"/>
      <c r="E51" s="25"/>
      <c r="F51" s="25"/>
      <c r="G51" s="25"/>
      <c r="H51" s="25"/>
      <c r="I51" s="25"/>
    </row>
    <row r="52" spans="1:9" x14ac:dyDescent="0.25">
      <c r="A52"/>
      <c r="B52" s="25"/>
      <c r="C52" s="25"/>
      <c r="D52" s="25"/>
      <c r="E52" s="25"/>
      <c r="F52" s="25"/>
      <c r="G52" s="25"/>
      <c r="H52" s="25"/>
      <c r="I52" s="2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6"/>
  <sheetViews>
    <sheetView topLeftCell="A9" workbookViewId="0">
      <selection activeCell="B9" sqref="B9"/>
    </sheetView>
  </sheetViews>
  <sheetFormatPr defaultRowHeight="15" x14ac:dyDescent="0.25"/>
  <cols>
    <col min="1" max="1" width="14.85546875" customWidth="1"/>
    <col min="2" max="2" width="15.5703125" style="2" bestFit="1" customWidth="1"/>
  </cols>
  <sheetData>
    <row r="1" spans="1:12" x14ac:dyDescent="0.25">
      <c r="A1" s="21" t="s">
        <v>11</v>
      </c>
      <c r="B1" t="s">
        <v>17</v>
      </c>
    </row>
    <row r="3" spans="1:12" x14ac:dyDescent="0.25">
      <c r="A3" s="21" t="s">
        <v>114</v>
      </c>
      <c r="B3" s="2" t="s">
        <v>172</v>
      </c>
      <c r="F3" s="24" t="s">
        <v>208</v>
      </c>
    </row>
    <row r="4" spans="1:12" x14ac:dyDescent="0.25">
      <c r="A4" s="43">
        <v>2022</v>
      </c>
      <c r="B4" s="2">
        <v>360.23809523809524</v>
      </c>
      <c r="F4" s="69">
        <v>0</v>
      </c>
    </row>
    <row r="5" spans="1:12" x14ac:dyDescent="0.25">
      <c r="A5" s="42" t="s">
        <v>123</v>
      </c>
      <c r="B5" s="2">
        <v>295</v>
      </c>
    </row>
    <row r="6" spans="1:12" x14ac:dyDescent="0.25">
      <c r="A6" s="42" t="s">
        <v>124</v>
      </c>
      <c r="B6" s="2">
        <v>300</v>
      </c>
    </row>
    <row r="7" spans="1:12" x14ac:dyDescent="0.25">
      <c r="A7" s="42" t="s">
        <v>126</v>
      </c>
      <c r="B7" s="2">
        <v>370</v>
      </c>
    </row>
    <row r="8" spans="1:12" x14ac:dyDescent="0.25">
      <c r="A8" s="42" t="s">
        <v>128</v>
      </c>
      <c r="B8" s="2">
        <v>320</v>
      </c>
    </row>
    <row r="9" spans="1:12" x14ac:dyDescent="0.25">
      <c r="A9" s="42" t="s">
        <v>130</v>
      </c>
      <c r="B9" s="2">
        <v>350</v>
      </c>
    </row>
    <row r="10" spans="1:12" x14ac:dyDescent="0.25">
      <c r="A10" s="42" t="s">
        <v>131</v>
      </c>
      <c r="B10" s="2">
        <v>350</v>
      </c>
    </row>
    <row r="11" spans="1:12" x14ac:dyDescent="0.25">
      <c r="A11" s="42" t="s">
        <v>132</v>
      </c>
      <c r="B11" s="2">
        <v>378.33333333333331</v>
      </c>
      <c r="L11" s="24"/>
    </row>
    <row r="12" spans="1:12" x14ac:dyDescent="0.25">
      <c r="A12" s="42" t="s">
        <v>133</v>
      </c>
      <c r="B12" s="2">
        <v>390</v>
      </c>
    </row>
    <row r="13" spans="1:12" x14ac:dyDescent="0.25">
      <c r="A13" s="42" t="s">
        <v>134</v>
      </c>
      <c r="B13" s="2">
        <v>386.66666666666669</v>
      </c>
    </row>
    <row r="14" spans="1:12" x14ac:dyDescent="0.25">
      <c r="A14" s="43">
        <v>2023</v>
      </c>
      <c r="B14" s="2">
        <v>422.79411764705884</v>
      </c>
    </row>
    <row r="15" spans="1:12" x14ac:dyDescent="0.25">
      <c r="A15" s="42" t="s">
        <v>123</v>
      </c>
      <c r="B15" s="2">
        <v>378.33333333333331</v>
      </c>
    </row>
    <row r="16" spans="1:12" x14ac:dyDescent="0.25">
      <c r="A16" s="42" t="s">
        <v>125</v>
      </c>
      <c r="B16" s="2">
        <v>402.5</v>
      </c>
    </row>
    <row r="17" spans="1:6" x14ac:dyDescent="0.25">
      <c r="A17" s="42" t="s">
        <v>126</v>
      </c>
      <c r="B17" s="2">
        <v>400</v>
      </c>
      <c r="F17" s="41">
        <f>(GETPIVOTDATA("Rate ",$A$3,"ANUALLY",2023)-GETPIVOTDATA("Rate ",$A$3,"ANUALLY",2022))/GETPIVOTDATA("Rate ",$A$3,"ANUALLY",2022)</f>
        <v>0.17365187978694455</v>
      </c>
    </row>
    <row r="18" spans="1:6" x14ac:dyDescent="0.25">
      <c r="A18" s="42" t="s">
        <v>127</v>
      </c>
      <c r="B18" s="2">
        <v>350</v>
      </c>
    </row>
    <row r="19" spans="1:6" x14ac:dyDescent="0.25">
      <c r="A19" s="42" t="s">
        <v>128</v>
      </c>
      <c r="B19" s="2">
        <v>390</v>
      </c>
    </row>
    <row r="20" spans="1:6" x14ac:dyDescent="0.25">
      <c r="A20" s="42" t="s">
        <v>129</v>
      </c>
      <c r="B20" s="2">
        <v>415</v>
      </c>
    </row>
    <row r="21" spans="1:6" x14ac:dyDescent="0.25">
      <c r="A21" s="42" t="s">
        <v>130</v>
      </c>
      <c r="B21" s="2">
        <v>450</v>
      </c>
    </row>
    <row r="22" spans="1:6" x14ac:dyDescent="0.25">
      <c r="A22" s="42" t="s">
        <v>131</v>
      </c>
      <c r="B22" s="2">
        <v>447.5</v>
      </c>
    </row>
    <row r="23" spans="1:6" x14ac:dyDescent="0.25">
      <c r="A23" s="42" t="s">
        <v>132</v>
      </c>
      <c r="B23" s="2">
        <v>453.33333333333331</v>
      </c>
    </row>
    <row r="24" spans="1:6" x14ac:dyDescent="0.25">
      <c r="A24" s="42" t="s">
        <v>133</v>
      </c>
      <c r="B24" s="2">
        <v>500</v>
      </c>
    </row>
    <row r="25" spans="1:6" x14ac:dyDescent="0.25">
      <c r="A25" s="42" t="s">
        <v>134</v>
      </c>
      <c r="B25" s="2">
        <v>492</v>
      </c>
    </row>
    <row r="26" spans="1:6" x14ac:dyDescent="0.25">
      <c r="A26" s="43">
        <v>2024</v>
      </c>
      <c r="B26" s="2">
        <v>645</v>
      </c>
    </row>
    <row r="27" spans="1:6" x14ac:dyDescent="0.25">
      <c r="A27" s="42" t="s">
        <v>124</v>
      </c>
      <c r="B27" s="2">
        <v>590</v>
      </c>
    </row>
    <row r="28" spans="1:6" x14ac:dyDescent="0.25">
      <c r="A28" s="42" t="s">
        <v>126</v>
      </c>
      <c r="B28" s="2">
        <v>700</v>
      </c>
    </row>
    <row r="29" spans="1:6" x14ac:dyDescent="0.25">
      <c r="A29" s="42" t="s">
        <v>128</v>
      </c>
      <c r="B29" s="2">
        <v>700</v>
      </c>
      <c r="F29" s="41">
        <f>(GETPIVOTDATA("Rate ",$A$3,"ANUALLY",2024)-GETPIVOTDATA("Rate ",$A$3,"ANUALLY",2023))/GETPIVOTDATA("Rate ",$A$3,"ANUALLY",2023)</f>
        <v>0.52556521739130424</v>
      </c>
    </row>
    <row r="30" spans="1:6" x14ac:dyDescent="0.25">
      <c r="A30" s="43">
        <v>2025</v>
      </c>
      <c r="B30" s="2">
        <v>955.55555555555554</v>
      </c>
    </row>
    <row r="31" spans="1:6" x14ac:dyDescent="0.25">
      <c r="A31" s="42" t="s">
        <v>128</v>
      </c>
      <c r="B31" s="2">
        <v>1000</v>
      </c>
    </row>
    <row r="32" spans="1:6" x14ac:dyDescent="0.25">
      <c r="A32" s="42" t="s">
        <v>129</v>
      </c>
      <c r="B32" s="2">
        <v>950</v>
      </c>
    </row>
    <row r="33" spans="1:6" x14ac:dyDescent="0.25">
      <c r="A33" s="42" t="s">
        <v>130</v>
      </c>
      <c r="B33" s="2">
        <v>925</v>
      </c>
    </row>
    <row r="34" spans="1:6" x14ac:dyDescent="0.25">
      <c r="A34" s="42" t="s">
        <v>132</v>
      </c>
      <c r="B34" s="2">
        <v>975</v>
      </c>
    </row>
    <row r="35" spans="1:6" x14ac:dyDescent="0.25">
      <c r="A35" s="42" t="s">
        <v>133</v>
      </c>
      <c r="B35" s="2">
        <v>1000</v>
      </c>
      <c r="F35" s="41">
        <f>(GETPIVOTDATA("Rate ",$A$3,"ANUALLY",2025)-GETPIVOTDATA("Rate ",$A$3,"ANUALLY",2024))/GETPIVOTDATA("Rate ",$A$3,"ANUALLY",2024)</f>
        <v>0.48148148148148145</v>
      </c>
    </row>
    <row r="36" spans="1:6" x14ac:dyDescent="0.25">
      <c r="A36" s="42" t="s">
        <v>134</v>
      </c>
      <c r="B36" s="2">
        <v>925</v>
      </c>
    </row>
    <row r="37" spans="1:6" x14ac:dyDescent="0.25">
      <c r="A37" s="43" t="s">
        <v>115</v>
      </c>
      <c r="B37" s="2">
        <v>487.05882352941177</v>
      </c>
    </row>
    <row r="38" spans="1:6" x14ac:dyDescent="0.25">
      <c r="B38"/>
    </row>
    <row r="39" spans="1:6" x14ac:dyDescent="0.25">
      <c r="B39"/>
    </row>
    <row r="40" spans="1:6" x14ac:dyDescent="0.25">
      <c r="B40"/>
    </row>
    <row r="41" spans="1:6" x14ac:dyDescent="0.25">
      <c r="B41"/>
    </row>
    <row r="42" spans="1:6" x14ac:dyDescent="0.25">
      <c r="B42"/>
    </row>
    <row r="43" spans="1:6" x14ac:dyDescent="0.25">
      <c r="B43"/>
    </row>
    <row r="44" spans="1:6" x14ac:dyDescent="0.25">
      <c r="B44"/>
    </row>
    <row r="45" spans="1:6" x14ac:dyDescent="0.25">
      <c r="B45"/>
    </row>
    <row r="46" spans="1:6" x14ac:dyDescent="0.25">
      <c r="B46"/>
    </row>
    <row r="47" spans="1:6" x14ac:dyDescent="0.25">
      <c r="B47"/>
    </row>
    <row r="48" spans="1:6" x14ac:dyDescent="0.25">
      <c r="B48"/>
    </row>
    <row r="49" spans="2:2" x14ac:dyDescent="0.25">
      <c r="B49"/>
    </row>
    <row r="50" spans="2:2" x14ac:dyDescent="0.25">
      <c r="B50"/>
    </row>
    <row r="51" spans="2:2" x14ac:dyDescent="0.25">
      <c r="B51"/>
    </row>
    <row r="52" spans="2:2" x14ac:dyDescent="0.25">
      <c r="B52"/>
    </row>
    <row r="53" spans="2:2" x14ac:dyDescent="0.25">
      <c r="B53"/>
    </row>
    <row r="54" spans="2:2" x14ac:dyDescent="0.25">
      <c r="B54"/>
    </row>
    <row r="55" spans="2:2" x14ac:dyDescent="0.25">
      <c r="B55"/>
    </row>
    <row r="56" spans="2:2" x14ac:dyDescent="0.25">
      <c r="B56"/>
    </row>
    <row r="57" spans="2:2" x14ac:dyDescent="0.25">
      <c r="B57"/>
    </row>
    <row r="58" spans="2:2" x14ac:dyDescent="0.25">
      <c r="B58"/>
    </row>
    <row r="59" spans="2:2" x14ac:dyDescent="0.25">
      <c r="B59"/>
    </row>
    <row r="60" spans="2:2" x14ac:dyDescent="0.25">
      <c r="B60"/>
    </row>
    <row r="61" spans="2:2" x14ac:dyDescent="0.25">
      <c r="B61"/>
    </row>
    <row r="62" spans="2:2" x14ac:dyDescent="0.25">
      <c r="B62"/>
    </row>
    <row r="63" spans="2:2" x14ac:dyDescent="0.25">
      <c r="B63"/>
    </row>
    <row r="64" spans="2:2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  <row r="71" spans="2:2" x14ac:dyDescent="0.25">
      <c r="B71"/>
    </row>
    <row r="72" spans="2:2" x14ac:dyDescent="0.25">
      <c r="B72"/>
    </row>
    <row r="73" spans="2:2" x14ac:dyDescent="0.25">
      <c r="B73"/>
    </row>
    <row r="74" spans="2:2" x14ac:dyDescent="0.25">
      <c r="B74"/>
    </row>
    <row r="75" spans="2:2" x14ac:dyDescent="0.25">
      <c r="B75"/>
    </row>
    <row r="76" spans="2:2" x14ac:dyDescent="0.25">
      <c r="B76"/>
    </row>
    <row r="77" spans="2:2" x14ac:dyDescent="0.25">
      <c r="B77"/>
    </row>
    <row r="78" spans="2:2" x14ac:dyDescent="0.25">
      <c r="B78"/>
    </row>
    <row r="79" spans="2:2" x14ac:dyDescent="0.25">
      <c r="B79"/>
    </row>
    <row r="80" spans="2:2" x14ac:dyDescent="0.25">
      <c r="B80"/>
    </row>
    <row r="81" spans="2:2" x14ac:dyDescent="0.25">
      <c r="B81"/>
    </row>
    <row r="82" spans="2:2" x14ac:dyDescent="0.25">
      <c r="B82"/>
    </row>
    <row r="83" spans="2:2" x14ac:dyDescent="0.25">
      <c r="B83"/>
    </row>
    <row r="84" spans="2:2" x14ac:dyDescent="0.25">
      <c r="B84"/>
    </row>
    <row r="85" spans="2:2" x14ac:dyDescent="0.25">
      <c r="B85"/>
    </row>
    <row r="86" spans="2:2" x14ac:dyDescent="0.25">
      <c r="B86"/>
    </row>
    <row r="87" spans="2:2" x14ac:dyDescent="0.25">
      <c r="B87"/>
    </row>
    <row r="88" spans="2:2" x14ac:dyDescent="0.25">
      <c r="B88"/>
    </row>
    <row r="89" spans="2:2" x14ac:dyDescent="0.25">
      <c r="B89"/>
    </row>
    <row r="90" spans="2:2" x14ac:dyDescent="0.25">
      <c r="B90"/>
    </row>
    <row r="91" spans="2:2" x14ac:dyDescent="0.25">
      <c r="B91"/>
    </row>
    <row r="92" spans="2:2" x14ac:dyDescent="0.25">
      <c r="B92"/>
    </row>
    <row r="93" spans="2:2" x14ac:dyDescent="0.25">
      <c r="B93"/>
    </row>
    <row r="94" spans="2:2" x14ac:dyDescent="0.25">
      <c r="B94"/>
    </row>
    <row r="95" spans="2:2" x14ac:dyDescent="0.25">
      <c r="B95"/>
    </row>
    <row r="96" spans="2:2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  <row r="104" spans="2:2" x14ac:dyDescent="0.25">
      <c r="B104"/>
    </row>
    <row r="105" spans="2:2" x14ac:dyDescent="0.25">
      <c r="B105"/>
    </row>
    <row r="106" spans="2:2" x14ac:dyDescent="0.25">
      <c r="B106"/>
    </row>
    <row r="107" spans="2:2" x14ac:dyDescent="0.25">
      <c r="B107"/>
    </row>
    <row r="108" spans="2:2" x14ac:dyDescent="0.25">
      <c r="B108"/>
    </row>
    <row r="109" spans="2:2" x14ac:dyDescent="0.25">
      <c r="B109"/>
    </row>
    <row r="110" spans="2:2" x14ac:dyDescent="0.25">
      <c r="B110"/>
    </row>
    <row r="111" spans="2:2" x14ac:dyDescent="0.25">
      <c r="B111"/>
    </row>
    <row r="112" spans="2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97"/>
  <sheetViews>
    <sheetView workbookViewId="0">
      <selection activeCell="C10" sqref="C10"/>
    </sheetView>
  </sheetViews>
  <sheetFormatPr defaultRowHeight="15" x14ac:dyDescent="0.25"/>
  <cols>
    <col min="1" max="1" width="23.7109375" style="5" customWidth="1"/>
    <col min="2" max="2" width="16.5703125" style="26" customWidth="1"/>
    <col min="3" max="3" width="12" style="4" customWidth="1"/>
    <col min="4" max="4" width="15.5703125" style="5" customWidth="1"/>
    <col min="5" max="23" width="7" style="5" customWidth="1"/>
    <col min="24" max="30" width="8" style="5" bestFit="1" customWidth="1"/>
    <col min="31" max="59" width="8" style="5" customWidth="1"/>
    <col min="60" max="61" width="8" style="5" bestFit="1" customWidth="1"/>
    <col min="62" max="88" width="8" style="5" customWidth="1"/>
    <col min="89" max="89" width="8" style="5" bestFit="1" customWidth="1"/>
    <col min="90" max="135" width="9" style="5" bestFit="1" customWidth="1"/>
    <col min="136" max="136" width="10.5703125" style="5" bestFit="1" customWidth="1"/>
    <col min="137" max="138" width="11.28515625" style="5" bestFit="1" customWidth="1"/>
    <col min="139" max="16384" width="9.140625" style="5"/>
  </cols>
  <sheetData>
    <row r="1" spans="1:138" x14ac:dyDescent="0.25">
      <c r="A1" s="16" t="s">
        <v>11</v>
      </c>
      <c r="B1" s="27" t="s">
        <v>154</v>
      </c>
    </row>
    <row r="3" spans="1:138" x14ac:dyDescent="0.25">
      <c r="A3" s="16" t="s">
        <v>114</v>
      </c>
      <c r="B3" s="27" t="s">
        <v>152</v>
      </c>
      <c r="C3" s="5" t="s">
        <v>171</v>
      </c>
      <c r="D3" s="4" t="s">
        <v>157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</row>
    <row r="4" spans="1:138" x14ac:dyDescent="0.25">
      <c r="A4" s="17" t="s">
        <v>45</v>
      </c>
      <c r="B4" s="27">
        <v>200</v>
      </c>
      <c r="C4" s="6">
        <v>600</v>
      </c>
      <c r="D4" s="4">
        <v>60000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</row>
    <row r="5" spans="1:138" x14ac:dyDescent="0.25">
      <c r="A5" s="17" t="s">
        <v>107</v>
      </c>
      <c r="B5" s="27">
        <v>14</v>
      </c>
      <c r="C5" s="6">
        <v>800</v>
      </c>
      <c r="D5" s="4">
        <v>6200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</row>
    <row r="6" spans="1:138" x14ac:dyDescent="0.25">
      <c r="A6" s="17" t="s">
        <v>67</v>
      </c>
      <c r="B6" s="27">
        <v>255</v>
      </c>
      <c r="C6" s="6">
        <v>1200</v>
      </c>
      <c r="D6" s="4">
        <v>107500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</row>
    <row r="7" spans="1:138" x14ac:dyDescent="0.25">
      <c r="A7" s="17" t="s">
        <v>68</v>
      </c>
      <c r="B7" s="27">
        <v>40</v>
      </c>
      <c r="C7" s="6">
        <v>350</v>
      </c>
      <c r="D7" s="4">
        <v>14000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</row>
    <row r="8" spans="1:138" x14ac:dyDescent="0.25">
      <c r="A8" s="17" t="s">
        <v>40</v>
      </c>
      <c r="B8" s="27">
        <v>160</v>
      </c>
      <c r="C8" s="6">
        <v>730</v>
      </c>
      <c r="D8" s="4">
        <v>59800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</row>
    <row r="9" spans="1:138" x14ac:dyDescent="0.25">
      <c r="A9" s="17" t="s">
        <v>39</v>
      </c>
      <c r="B9" s="27">
        <v>700</v>
      </c>
      <c r="C9" s="6">
        <v>340</v>
      </c>
      <c r="D9" s="4">
        <v>238000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</row>
    <row r="10" spans="1:138" x14ac:dyDescent="0.25">
      <c r="A10" s="17" t="s">
        <v>56</v>
      </c>
      <c r="B10" s="27">
        <v>30</v>
      </c>
      <c r="C10" s="6">
        <v>390</v>
      </c>
      <c r="D10" s="4">
        <v>11500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</row>
    <row r="11" spans="1:138" x14ac:dyDescent="0.25">
      <c r="A11" s="17" t="s">
        <v>95</v>
      </c>
      <c r="B11" s="27">
        <v>16</v>
      </c>
      <c r="C11" s="6">
        <v>700</v>
      </c>
      <c r="D11" s="4">
        <v>11200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</row>
    <row r="12" spans="1:138" x14ac:dyDescent="0.25">
      <c r="A12" s="17" t="s">
        <v>73</v>
      </c>
      <c r="B12" s="27">
        <v>792</v>
      </c>
      <c r="C12" s="6">
        <v>1080</v>
      </c>
      <c r="D12" s="4">
        <v>283200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</row>
    <row r="13" spans="1:138" x14ac:dyDescent="0.25">
      <c r="A13" s="17" t="s">
        <v>33</v>
      </c>
      <c r="B13" s="27">
        <v>155</v>
      </c>
      <c r="C13" s="6">
        <v>550</v>
      </c>
      <c r="D13" s="4">
        <v>45250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</row>
    <row r="14" spans="1:138" x14ac:dyDescent="0.25">
      <c r="A14" s="17" t="s">
        <v>50</v>
      </c>
      <c r="B14" s="27">
        <v>1050</v>
      </c>
      <c r="C14" s="6">
        <v>3100</v>
      </c>
      <c r="D14" s="4">
        <v>727500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</row>
    <row r="15" spans="1:138" x14ac:dyDescent="0.25">
      <c r="A15" s="17" t="s">
        <v>34</v>
      </c>
      <c r="B15" s="27">
        <v>500</v>
      </c>
      <c r="C15" s="6">
        <v>940</v>
      </c>
      <c r="D15" s="4">
        <v>145000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</row>
    <row r="16" spans="1:138" x14ac:dyDescent="0.25">
      <c r="A16" s="17" t="s">
        <v>59</v>
      </c>
      <c r="B16" s="27">
        <v>555</v>
      </c>
      <c r="C16" s="6">
        <v>2590</v>
      </c>
      <c r="D16" s="4">
        <v>221500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</row>
    <row r="17" spans="1:138" x14ac:dyDescent="0.25">
      <c r="A17" s="17" t="s">
        <v>53</v>
      </c>
      <c r="B17" s="27">
        <v>8</v>
      </c>
      <c r="C17" s="6">
        <v>350</v>
      </c>
      <c r="D17" s="4">
        <v>2800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</row>
    <row r="18" spans="1:138" x14ac:dyDescent="0.25">
      <c r="A18" s="17" t="s">
        <v>54</v>
      </c>
      <c r="B18" s="27">
        <v>16</v>
      </c>
      <c r="C18" s="6">
        <v>330</v>
      </c>
      <c r="D18" s="4">
        <v>5280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</row>
    <row r="19" spans="1:138" x14ac:dyDescent="0.25">
      <c r="A19" s="17" t="s">
        <v>76</v>
      </c>
      <c r="B19" s="27">
        <v>600</v>
      </c>
      <c r="C19" s="6">
        <v>800</v>
      </c>
      <c r="D19" s="4">
        <v>240000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</row>
    <row r="20" spans="1:138" x14ac:dyDescent="0.25">
      <c r="A20" s="17" t="s">
        <v>83</v>
      </c>
      <c r="B20" s="27">
        <v>26</v>
      </c>
      <c r="C20" s="6">
        <v>430</v>
      </c>
      <c r="D20" s="4">
        <v>11180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</row>
    <row r="21" spans="1:138" x14ac:dyDescent="0.25">
      <c r="A21" s="17" t="s">
        <v>78</v>
      </c>
      <c r="B21" s="27">
        <v>70</v>
      </c>
      <c r="C21" s="6">
        <v>450</v>
      </c>
      <c r="D21" s="4">
        <v>31500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</row>
    <row r="22" spans="1:138" x14ac:dyDescent="0.25">
      <c r="A22" s="17" t="s">
        <v>99</v>
      </c>
      <c r="B22" s="27">
        <v>600</v>
      </c>
      <c r="C22" s="6">
        <v>1600</v>
      </c>
      <c r="D22" s="4">
        <v>480000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</row>
    <row r="23" spans="1:138" x14ac:dyDescent="0.25">
      <c r="A23" s="17" t="s">
        <v>91</v>
      </c>
      <c r="B23" s="27">
        <v>1635</v>
      </c>
      <c r="C23" s="6">
        <v>2940</v>
      </c>
      <c r="D23" s="4">
        <v>915050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</row>
    <row r="24" spans="1:138" x14ac:dyDescent="0.25">
      <c r="A24" s="17" t="s">
        <v>36</v>
      </c>
      <c r="B24" s="27">
        <v>12</v>
      </c>
      <c r="C24" s="6">
        <v>300</v>
      </c>
      <c r="D24" s="4">
        <v>3600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</row>
    <row r="25" spans="1:138" x14ac:dyDescent="0.25">
      <c r="A25" s="17" t="s">
        <v>37</v>
      </c>
      <c r="B25" s="27">
        <v>2</v>
      </c>
      <c r="C25" s="6">
        <v>300</v>
      </c>
      <c r="D25" s="4">
        <v>600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</row>
    <row r="26" spans="1:138" x14ac:dyDescent="0.25">
      <c r="A26" s="17" t="s">
        <v>63</v>
      </c>
      <c r="B26" s="27">
        <v>16</v>
      </c>
      <c r="C26" s="6">
        <v>350</v>
      </c>
      <c r="D26" s="4">
        <v>5600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</row>
    <row r="27" spans="1:138" x14ac:dyDescent="0.25">
      <c r="A27" s="17" t="s">
        <v>84</v>
      </c>
      <c r="B27" s="27">
        <v>2537</v>
      </c>
      <c r="C27" s="6">
        <v>2910</v>
      </c>
      <c r="D27" s="4">
        <v>1043910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</row>
    <row r="28" spans="1:138" x14ac:dyDescent="0.25">
      <c r="A28" s="17" t="s">
        <v>81</v>
      </c>
      <c r="B28" s="27">
        <v>150</v>
      </c>
      <c r="C28" s="6">
        <v>450</v>
      </c>
      <c r="D28" s="4">
        <v>67500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</row>
    <row r="29" spans="1:138" x14ac:dyDescent="0.25">
      <c r="A29" s="17" t="s">
        <v>79</v>
      </c>
      <c r="B29" s="27">
        <v>180</v>
      </c>
      <c r="C29" s="6">
        <v>390</v>
      </c>
      <c r="D29" s="4">
        <v>70200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</row>
    <row r="30" spans="1:138" x14ac:dyDescent="0.25">
      <c r="A30" s="17" t="s">
        <v>80</v>
      </c>
      <c r="B30" s="27">
        <v>8</v>
      </c>
      <c r="C30" s="6">
        <v>400</v>
      </c>
      <c r="D30" s="4">
        <v>3200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</row>
    <row r="31" spans="1:138" x14ac:dyDescent="0.25">
      <c r="A31" s="17" t="s">
        <v>69</v>
      </c>
      <c r="B31" s="27">
        <v>500</v>
      </c>
      <c r="C31" s="6">
        <v>1210</v>
      </c>
      <c r="D31" s="4">
        <v>197000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</row>
    <row r="32" spans="1:138" x14ac:dyDescent="0.25">
      <c r="A32" s="17" t="s">
        <v>88</v>
      </c>
      <c r="B32" s="27">
        <v>155</v>
      </c>
      <c r="C32" s="6">
        <v>490</v>
      </c>
      <c r="D32" s="4">
        <v>75950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</row>
    <row r="33" spans="1:138" x14ac:dyDescent="0.25">
      <c r="A33" s="17" t="s">
        <v>113</v>
      </c>
      <c r="B33" s="27">
        <v>36</v>
      </c>
      <c r="C33" s="6">
        <v>850</v>
      </c>
      <c r="D33" s="4">
        <v>30600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</row>
    <row r="34" spans="1:138" x14ac:dyDescent="0.25">
      <c r="A34" s="17" t="s">
        <v>105</v>
      </c>
      <c r="B34" s="27">
        <v>50</v>
      </c>
      <c r="C34" s="6">
        <v>730</v>
      </c>
      <c r="D34" s="4">
        <v>36500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</row>
    <row r="35" spans="1:138" x14ac:dyDescent="0.25">
      <c r="A35" s="17" t="s">
        <v>111</v>
      </c>
      <c r="B35" s="27">
        <v>200</v>
      </c>
      <c r="C35" s="6">
        <v>850</v>
      </c>
      <c r="D35" s="4">
        <v>170000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</row>
    <row r="36" spans="1:138" x14ac:dyDescent="0.25">
      <c r="A36" s="17" t="s">
        <v>101</v>
      </c>
      <c r="B36" s="27">
        <v>24</v>
      </c>
      <c r="C36" s="6">
        <v>700</v>
      </c>
      <c r="D36" s="4">
        <v>16800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</row>
    <row r="37" spans="1:138" x14ac:dyDescent="0.25">
      <c r="A37" s="17" t="s">
        <v>89</v>
      </c>
      <c r="B37" s="27">
        <v>120</v>
      </c>
      <c r="C37" s="6">
        <v>900</v>
      </c>
      <c r="D37" s="4">
        <v>54000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</row>
    <row r="38" spans="1:138" x14ac:dyDescent="0.25">
      <c r="A38" s="17" t="s">
        <v>92</v>
      </c>
      <c r="B38" s="27">
        <v>1182</v>
      </c>
      <c r="C38" s="6">
        <v>4350</v>
      </c>
      <c r="D38" s="4">
        <v>464400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</row>
    <row r="39" spans="1:138" x14ac:dyDescent="0.25">
      <c r="A39" s="17" t="s">
        <v>109</v>
      </c>
      <c r="B39" s="27">
        <v>1075</v>
      </c>
      <c r="C39" s="6">
        <v>1550</v>
      </c>
      <c r="D39" s="4">
        <v>812500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</row>
    <row r="40" spans="1:138" x14ac:dyDescent="0.25">
      <c r="A40" s="17" t="s">
        <v>93</v>
      </c>
      <c r="B40" s="27">
        <v>30</v>
      </c>
      <c r="C40" s="6">
        <v>750</v>
      </c>
      <c r="D40" s="4">
        <v>22500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</row>
    <row r="41" spans="1:138" x14ac:dyDescent="0.25">
      <c r="A41" s="17" t="s">
        <v>112</v>
      </c>
      <c r="B41" s="27">
        <v>20</v>
      </c>
      <c r="C41" s="6">
        <v>900</v>
      </c>
      <c r="D41" s="4">
        <v>18000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</row>
    <row r="42" spans="1:138" x14ac:dyDescent="0.25">
      <c r="A42" s="17" t="s">
        <v>106</v>
      </c>
      <c r="B42" s="27">
        <v>170</v>
      </c>
      <c r="C42" s="6">
        <v>2550</v>
      </c>
      <c r="D42" s="4">
        <v>143500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</row>
    <row r="43" spans="1:138" x14ac:dyDescent="0.25">
      <c r="A43" s="17" t="s">
        <v>30</v>
      </c>
      <c r="B43" s="27">
        <v>1400</v>
      </c>
      <c r="C43" s="6">
        <v>950</v>
      </c>
      <c r="D43" s="4">
        <v>443000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</row>
    <row r="44" spans="1:138" x14ac:dyDescent="0.25">
      <c r="A44" s="17" t="s">
        <v>62</v>
      </c>
      <c r="B44" s="27">
        <v>60</v>
      </c>
      <c r="C44" s="6">
        <v>410</v>
      </c>
      <c r="D44" s="4">
        <v>24500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</row>
    <row r="45" spans="1:138" x14ac:dyDescent="0.25">
      <c r="A45" s="17" t="s">
        <v>77</v>
      </c>
      <c r="B45" s="27">
        <v>200</v>
      </c>
      <c r="C45" s="6">
        <v>370</v>
      </c>
      <c r="D45" s="4">
        <v>74000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</row>
    <row r="46" spans="1:138" x14ac:dyDescent="0.25">
      <c r="A46" s="17" t="s">
        <v>48</v>
      </c>
      <c r="B46" s="27">
        <v>200</v>
      </c>
      <c r="C46" s="6">
        <v>300</v>
      </c>
      <c r="D46" s="4">
        <v>20000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</row>
    <row r="47" spans="1:138" x14ac:dyDescent="0.25">
      <c r="A47" s="17" t="s">
        <v>52</v>
      </c>
      <c r="B47" s="27">
        <v>240</v>
      </c>
      <c r="C47" s="6">
        <v>1870</v>
      </c>
      <c r="D47" s="4">
        <v>72600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</row>
    <row r="48" spans="1:138" x14ac:dyDescent="0.25">
      <c r="A48" s="17" t="s">
        <v>51</v>
      </c>
      <c r="B48" s="27">
        <v>2130</v>
      </c>
      <c r="C48" s="6">
        <v>2460</v>
      </c>
      <c r="D48" s="4">
        <v>751900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</row>
    <row r="49" spans="1:138" x14ac:dyDescent="0.25">
      <c r="A49" s="17" t="s">
        <v>61</v>
      </c>
      <c r="B49" s="27">
        <v>400</v>
      </c>
      <c r="C49" s="6">
        <v>385</v>
      </c>
      <c r="D49" s="4">
        <v>154000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</row>
    <row r="50" spans="1:138" x14ac:dyDescent="0.25">
      <c r="A50" s="17" t="s">
        <v>75</v>
      </c>
      <c r="B50" s="27">
        <v>30</v>
      </c>
      <c r="C50" s="6">
        <v>400</v>
      </c>
      <c r="D50" s="4">
        <v>12000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</row>
    <row r="51" spans="1:138" x14ac:dyDescent="0.25">
      <c r="A51" s="17" t="s">
        <v>27</v>
      </c>
      <c r="B51" s="27">
        <v>224</v>
      </c>
      <c r="C51" s="6">
        <v>250</v>
      </c>
      <c r="D51" s="4">
        <v>56000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</row>
    <row r="52" spans="1:138" x14ac:dyDescent="0.25">
      <c r="A52" s="17" t="s">
        <v>136</v>
      </c>
      <c r="B52" s="27">
        <v>300</v>
      </c>
      <c r="C52" s="6">
        <v>1000</v>
      </c>
      <c r="D52" s="4">
        <v>150000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</row>
    <row r="53" spans="1:138" x14ac:dyDescent="0.25">
      <c r="A53" s="17" t="s">
        <v>87</v>
      </c>
      <c r="B53" s="27">
        <v>1050</v>
      </c>
      <c r="C53" s="6">
        <v>1910</v>
      </c>
      <c r="D53" s="4">
        <v>489500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</row>
    <row r="54" spans="1:138" x14ac:dyDescent="0.25">
      <c r="A54" s="17" t="s">
        <v>74</v>
      </c>
      <c r="B54" s="27">
        <v>240</v>
      </c>
      <c r="C54" s="6">
        <v>1140</v>
      </c>
      <c r="D54" s="4">
        <v>91200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</row>
    <row r="55" spans="1:138" x14ac:dyDescent="0.25">
      <c r="A55" s="17" t="s">
        <v>104</v>
      </c>
      <c r="B55" s="27">
        <v>250</v>
      </c>
      <c r="C55" s="6">
        <v>950</v>
      </c>
      <c r="D55" s="4">
        <v>237500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</row>
    <row r="56" spans="1:138" x14ac:dyDescent="0.25">
      <c r="A56" s="17" t="s">
        <v>44</v>
      </c>
      <c r="B56" s="27">
        <v>6470</v>
      </c>
      <c r="C56" s="6">
        <v>6680</v>
      </c>
      <c r="D56" s="4">
        <v>2421600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</row>
    <row r="57" spans="1:138" x14ac:dyDescent="0.25">
      <c r="A57" s="17" t="s">
        <v>98</v>
      </c>
      <c r="B57" s="27">
        <v>550</v>
      </c>
      <c r="C57" s="6">
        <v>950</v>
      </c>
      <c r="D57" s="4">
        <v>522500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</row>
    <row r="58" spans="1:138" x14ac:dyDescent="0.25">
      <c r="A58" s="17" t="s">
        <v>55</v>
      </c>
      <c r="B58" s="27">
        <v>19</v>
      </c>
      <c r="C58" s="6">
        <v>370</v>
      </c>
      <c r="D58" s="4">
        <v>7000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</row>
    <row r="59" spans="1:138" x14ac:dyDescent="0.25">
      <c r="A59" s="17" t="s">
        <v>71</v>
      </c>
      <c r="B59" s="27">
        <v>400</v>
      </c>
      <c r="C59" s="6">
        <v>350</v>
      </c>
      <c r="D59" s="4">
        <v>140000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</row>
    <row r="60" spans="1:138" x14ac:dyDescent="0.25">
      <c r="A60" s="17" t="s">
        <v>32</v>
      </c>
      <c r="B60" s="27">
        <v>150</v>
      </c>
      <c r="C60" s="6">
        <v>260</v>
      </c>
      <c r="D60" s="4">
        <v>39000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</row>
    <row r="61" spans="1:138" x14ac:dyDescent="0.25">
      <c r="A61" s="17" t="s">
        <v>46</v>
      </c>
      <c r="B61" s="27">
        <v>300</v>
      </c>
      <c r="C61" s="6">
        <v>350</v>
      </c>
      <c r="D61" s="4">
        <v>105000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</row>
    <row r="62" spans="1:138" x14ac:dyDescent="0.25">
      <c r="A62" s="17" t="s">
        <v>64</v>
      </c>
      <c r="B62" s="27">
        <v>15</v>
      </c>
      <c r="C62" s="6">
        <v>350</v>
      </c>
      <c r="D62" s="4">
        <v>5250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</row>
    <row r="63" spans="1:138" x14ac:dyDescent="0.25">
      <c r="A63" s="17" t="s">
        <v>57</v>
      </c>
      <c r="B63" s="27">
        <v>50</v>
      </c>
      <c r="C63" s="6">
        <v>400</v>
      </c>
      <c r="D63" s="4">
        <v>20000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</row>
    <row r="64" spans="1:138" x14ac:dyDescent="0.25">
      <c r="A64" s="17" t="s">
        <v>86</v>
      </c>
      <c r="B64" s="27">
        <v>32</v>
      </c>
      <c r="C64" s="6">
        <v>450</v>
      </c>
      <c r="D64" s="4">
        <v>14400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</row>
    <row r="65" spans="1:138" x14ac:dyDescent="0.25">
      <c r="A65" s="17" t="s">
        <v>58</v>
      </c>
      <c r="B65" s="27">
        <v>109</v>
      </c>
      <c r="C65" s="6">
        <v>720</v>
      </c>
      <c r="D65" s="4">
        <v>39240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</row>
    <row r="66" spans="1:138" x14ac:dyDescent="0.25">
      <c r="A66" s="17" t="s">
        <v>70</v>
      </c>
      <c r="B66" s="27">
        <v>1570</v>
      </c>
      <c r="C66" s="6">
        <v>2090</v>
      </c>
      <c r="D66" s="4">
        <v>688000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</row>
    <row r="67" spans="1:138" x14ac:dyDescent="0.25">
      <c r="A67" s="17" t="s">
        <v>90</v>
      </c>
      <c r="B67" s="27">
        <v>600</v>
      </c>
      <c r="C67" s="6">
        <v>800</v>
      </c>
      <c r="D67" s="4">
        <v>240000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</row>
    <row r="68" spans="1:138" x14ac:dyDescent="0.25">
      <c r="A68" s="17" t="s">
        <v>66</v>
      </c>
      <c r="B68" s="27">
        <v>416</v>
      </c>
      <c r="C68" s="6">
        <v>670</v>
      </c>
      <c r="D68" s="4">
        <v>137440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</row>
    <row r="69" spans="1:138" x14ac:dyDescent="0.25">
      <c r="A69" s="17" t="s">
        <v>72</v>
      </c>
      <c r="B69" s="27">
        <v>130</v>
      </c>
      <c r="C69" s="6">
        <v>780</v>
      </c>
      <c r="D69" s="4">
        <v>51000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</row>
    <row r="70" spans="1:138" x14ac:dyDescent="0.25">
      <c r="A70" s="17" t="s">
        <v>108</v>
      </c>
      <c r="B70" s="27">
        <v>381</v>
      </c>
      <c r="C70" s="6">
        <v>3600</v>
      </c>
      <c r="D70" s="4">
        <v>356000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</row>
    <row r="71" spans="1:138" x14ac:dyDescent="0.25">
      <c r="A71" s="17" t="s">
        <v>49</v>
      </c>
      <c r="B71" s="27">
        <v>4810</v>
      </c>
      <c r="C71" s="6">
        <v>3077</v>
      </c>
      <c r="D71" s="4">
        <v>1419200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</row>
    <row r="72" spans="1:138" x14ac:dyDescent="0.25">
      <c r="A72" s="17" t="s">
        <v>96</v>
      </c>
      <c r="B72" s="27">
        <v>100</v>
      </c>
      <c r="C72" s="6">
        <v>1000</v>
      </c>
      <c r="D72" s="4">
        <v>100000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</row>
    <row r="73" spans="1:138" x14ac:dyDescent="0.25">
      <c r="A73" s="17" t="s">
        <v>31</v>
      </c>
      <c r="B73" s="27">
        <v>12</v>
      </c>
      <c r="C73" s="6">
        <v>270</v>
      </c>
      <c r="D73" s="4">
        <v>3100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</row>
    <row r="74" spans="1:138" x14ac:dyDescent="0.25">
      <c r="A74" s="17" t="s">
        <v>110</v>
      </c>
      <c r="B74" s="27">
        <v>405</v>
      </c>
      <c r="C74" s="6">
        <v>1000</v>
      </c>
      <c r="D74" s="4">
        <v>405000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</row>
    <row r="75" spans="1:138" x14ac:dyDescent="0.25">
      <c r="A75" s="17" t="s">
        <v>82</v>
      </c>
      <c r="B75" s="27">
        <v>2850</v>
      </c>
      <c r="C75" s="6">
        <v>4110</v>
      </c>
      <c r="D75" s="4">
        <v>1301500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</row>
    <row r="76" spans="1:138" x14ac:dyDescent="0.25">
      <c r="A76" s="17" t="s">
        <v>47</v>
      </c>
      <c r="B76" s="27">
        <v>400</v>
      </c>
      <c r="C76" s="6">
        <v>1180</v>
      </c>
      <c r="D76" s="4">
        <v>157500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</row>
    <row r="77" spans="1:138" x14ac:dyDescent="0.25">
      <c r="A77" s="17" t="s">
        <v>102</v>
      </c>
      <c r="B77" s="27">
        <v>40</v>
      </c>
      <c r="C77" s="6">
        <v>900</v>
      </c>
      <c r="D77" s="4">
        <v>36000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</row>
    <row r="78" spans="1:138" x14ac:dyDescent="0.25">
      <c r="A78" s="17" t="s">
        <v>94</v>
      </c>
      <c r="B78" s="27">
        <v>48</v>
      </c>
      <c r="C78" s="6">
        <v>720</v>
      </c>
      <c r="D78" s="4">
        <v>34560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</row>
    <row r="79" spans="1:138" x14ac:dyDescent="0.25">
      <c r="A79" s="17" t="s">
        <v>42</v>
      </c>
      <c r="B79" s="27">
        <v>400</v>
      </c>
      <c r="C79" s="6">
        <v>320</v>
      </c>
      <c r="D79" s="4">
        <v>128000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</row>
    <row r="80" spans="1:138" x14ac:dyDescent="0.25">
      <c r="A80" s="17" t="s">
        <v>41</v>
      </c>
      <c r="B80" s="27">
        <v>16</v>
      </c>
      <c r="C80" s="6">
        <v>300</v>
      </c>
      <c r="D80" s="4">
        <v>500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</row>
    <row r="81" spans="1:138" x14ac:dyDescent="0.25">
      <c r="A81" s="17" t="s">
        <v>29</v>
      </c>
      <c r="B81" s="27">
        <v>750</v>
      </c>
      <c r="C81" s="6">
        <v>560</v>
      </c>
      <c r="D81" s="4">
        <v>206250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</row>
    <row r="82" spans="1:138" x14ac:dyDescent="0.25">
      <c r="A82" s="17" t="s">
        <v>97</v>
      </c>
      <c r="B82" s="27">
        <v>25</v>
      </c>
      <c r="C82" s="6">
        <v>800</v>
      </c>
      <c r="D82" s="4">
        <v>20000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</row>
    <row r="83" spans="1:138" x14ac:dyDescent="0.25">
      <c r="A83" s="17" t="s">
        <v>85</v>
      </c>
      <c r="B83" s="27">
        <v>175</v>
      </c>
      <c r="C83" s="6">
        <v>420</v>
      </c>
      <c r="D83" s="4">
        <v>71350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</row>
    <row r="84" spans="1:138" x14ac:dyDescent="0.25">
      <c r="A84" s="17" t="s">
        <v>35</v>
      </c>
      <c r="B84" s="27">
        <v>4</v>
      </c>
      <c r="C84" s="6">
        <v>250</v>
      </c>
      <c r="D84" s="4">
        <v>1000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</row>
    <row r="85" spans="1:138" x14ac:dyDescent="0.25">
      <c r="A85" s="17" t="s">
        <v>43</v>
      </c>
      <c r="B85" s="27">
        <v>16</v>
      </c>
      <c r="C85" s="6">
        <v>300</v>
      </c>
      <c r="D85" s="4">
        <v>4800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</row>
    <row r="86" spans="1:138" x14ac:dyDescent="0.25">
      <c r="A86" s="17" t="s">
        <v>60</v>
      </c>
      <c r="B86" s="27">
        <v>16</v>
      </c>
      <c r="C86" s="6">
        <v>380</v>
      </c>
      <c r="D86" s="4">
        <v>6080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</row>
    <row r="87" spans="1:138" x14ac:dyDescent="0.25">
      <c r="A87" s="17" t="s">
        <v>65</v>
      </c>
      <c r="B87" s="27">
        <v>25</v>
      </c>
      <c r="C87" s="6">
        <v>350</v>
      </c>
      <c r="D87" s="4">
        <v>8750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</row>
    <row r="88" spans="1:138" x14ac:dyDescent="0.25">
      <c r="A88" s="17" t="s">
        <v>135</v>
      </c>
      <c r="B88" s="27">
        <v>670</v>
      </c>
      <c r="C88" s="6">
        <v>2080</v>
      </c>
      <c r="D88" s="4">
        <v>286500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</row>
    <row r="89" spans="1:138" x14ac:dyDescent="0.25">
      <c r="A89" s="17" t="s">
        <v>156</v>
      </c>
      <c r="B89" s="27">
        <v>600</v>
      </c>
      <c r="C89" s="6">
        <v>380</v>
      </c>
      <c r="D89" s="4">
        <v>228000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</row>
    <row r="90" spans="1:138" x14ac:dyDescent="0.25">
      <c r="A90" s="17" t="s">
        <v>115</v>
      </c>
      <c r="B90" s="27">
        <v>43167</v>
      </c>
      <c r="C90" s="6">
        <v>90812</v>
      </c>
      <c r="D90" s="4">
        <v>18633540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</row>
    <row r="91" spans="1:138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</row>
    <row r="92" spans="1:138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</row>
    <row r="93" spans="1:138" x14ac:dyDescent="0.25">
      <c r="A93"/>
      <c r="B93"/>
      <c r="C93"/>
      <c r="D93" s="46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</row>
    <row r="94" spans="1:138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</row>
    <row r="95" spans="1:138" x14ac:dyDescent="0.25">
      <c r="A95"/>
      <c r="B95" s="25"/>
      <c r="C95" s="2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</row>
    <row r="96" spans="1:138" x14ac:dyDescent="0.25">
      <c r="A96"/>
      <c r="B96" s="25"/>
      <c r="C96" s="2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</row>
    <row r="97" spans="1:138" x14ac:dyDescent="0.25">
      <c r="A97"/>
      <c r="B97" s="25"/>
      <c r="C97" s="2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</row>
  </sheetData>
  <sortState columnSort="1" ref="A3:C94">
    <sortCondition ref="C3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6"/>
  <sheetViews>
    <sheetView zoomScaleNormal="100" workbookViewId="0">
      <selection activeCell="C14" sqref="C14"/>
    </sheetView>
  </sheetViews>
  <sheetFormatPr defaultRowHeight="15" x14ac:dyDescent="0.25"/>
  <cols>
    <col min="1" max="1" width="23.7109375" style="4" customWidth="1"/>
    <col min="2" max="2" width="14.85546875" style="4" bestFit="1" customWidth="1"/>
    <col min="3" max="3" width="15.7109375" style="4" customWidth="1"/>
    <col min="4" max="4" width="15.5703125" style="4" customWidth="1"/>
    <col min="5" max="5" width="8.140625" style="4" customWidth="1"/>
    <col min="6" max="6" width="7.7109375" style="4" customWidth="1"/>
    <col min="7" max="7" width="6.85546875" style="4" customWidth="1"/>
    <col min="8" max="8" width="8.85546875" style="4" customWidth="1"/>
    <col min="9" max="9" width="8.28515625" style="4" customWidth="1"/>
    <col min="10" max="10" width="7.5703125" style="4" customWidth="1"/>
    <col min="11" max="11" width="9.7109375" style="4" customWidth="1"/>
    <col min="12" max="12" width="10" style="4" customWidth="1"/>
    <col min="13" max="13" width="7.7109375" style="4" customWidth="1"/>
    <col min="14" max="15" width="8.28515625" style="4" customWidth="1"/>
    <col min="16" max="16" width="9" style="4" customWidth="1"/>
    <col min="17" max="17" width="9.28515625" style="4" customWidth="1"/>
    <col min="18" max="18" width="10.140625" style="4" customWidth="1"/>
    <col min="19" max="19" width="11.28515625" style="4" customWidth="1"/>
    <col min="20" max="20" width="8" style="4" customWidth="1"/>
    <col min="21" max="21" width="12.85546875" style="4" customWidth="1"/>
    <col min="22" max="22" width="8" style="4" customWidth="1"/>
    <col min="23" max="23" width="12.85546875" style="4" customWidth="1"/>
    <col min="24" max="24" width="8" style="4" customWidth="1"/>
    <col min="25" max="25" width="12.85546875" style="4" customWidth="1"/>
    <col min="26" max="26" width="8" style="4" customWidth="1"/>
    <col min="27" max="27" width="12.85546875" style="4" customWidth="1"/>
    <col min="28" max="28" width="8" style="4" customWidth="1"/>
    <col min="29" max="29" width="12.85546875" style="4" customWidth="1"/>
    <col min="30" max="30" width="9" style="4" customWidth="1"/>
    <col min="31" max="31" width="14" style="4" customWidth="1"/>
    <col min="32" max="32" width="9" style="4" customWidth="1"/>
    <col min="33" max="33" width="14" style="4" customWidth="1"/>
    <col min="34" max="34" width="9" style="4" customWidth="1"/>
    <col min="35" max="35" width="14" style="4" customWidth="1"/>
    <col min="36" max="36" width="9" style="4" customWidth="1"/>
    <col min="37" max="37" width="14" style="4" customWidth="1"/>
    <col min="38" max="38" width="9" style="4" customWidth="1"/>
    <col min="39" max="39" width="14" style="4" customWidth="1"/>
    <col min="40" max="40" width="11.28515625" style="4" customWidth="1"/>
    <col min="41" max="90" width="8" style="4" customWidth="1"/>
    <col min="91" max="137" width="9" style="4" customWidth="1"/>
    <col min="138" max="138" width="10.5703125" style="4" customWidth="1"/>
    <col min="139" max="139" width="11.28515625" style="4" customWidth="1"/>
    <col min="140" max="140" width="12.85546875" style="4" bestFit="1" customWidth="1"/>
    <col min="141" max="141" width="8" style="4" customWidth="1"/>
    <col min="142" max="142" width="12.85546875" style="4" bestFit="1" customWidth="1"/>
    <col min="143" max="143" width="8" style="4" customWidth="1"/>
    <col min="144" max="144" width="12.85546875" style="4" bestFit="1" customWidth="1"/>
    <col min="145" max="145" width="8" style="4" customWidth="1"/>
    <col min="146" max="146" width="12.85546875" style="4" bestFit="1" customWidth="1"/>
    <col min="147" max="147" width="8" style="4" customWidth="1"/>
    <col min="148" max="148" width="12.85546875" style="4" bestFit="1" customWidth="1"/>
    <col min="149" max="149" width="8" style="4" customWidth="1"/>
    <col min="150" max="150" width="7.28515625" style="4" customWidth="1"/>
    <col min="151" max="151" width="12.85546875" style="4" bestFit="1" customWidth="1"/>
    <col min="152" max="152" width="8" style="4" customWidth="1"/>
    <col min="153" max="153" width="12.85546875" style="4" bestFit="1" customWidth="1"/>
    <col min="154" max="154" width="8" style="4" customWidth="1"/>
    <col min="155" max="155" width="12.85546875" style="4" bestFit="1" customWidth="1"/>
    <col min="156" max="156" width="8" style="4" customWidth="1"/>
    <col min="157" max="157" width="12.85546875" style="4" bestFit="1" customWidth="1"/>
    <col min="158" max="158" width="8" style="4" customWidth="1"/>
    <col min="159" max="159" width="12.85546875" style="4" bestFit="1" customWidth="1"/>
    <col min="160" max="160" width="8" style="4" customWidth="1"/>
    <col min="161" max="161" width="12.85546875" style="4" bestFit="1" customWidth="1"/>
    <col min="162" max="162" width="8" style="4" customWidth="1"/>
    <col min="163" max="163" width="12.85546875" style="4" bestFit="1" customWidth="1"/>
    <col min="164" max="164" width="8" style="4" customWidth="1"/>
    <col min="165" max="165" width="12.85546875" style="4" bestFit="1" customWidth="1"/>
    <col min="166" max="166" width="8" style="4" customWidth="1"/>
    <col min="167" max="167" width="12.85546875" style="4" bestFit="1" customWidth="1"/>
    <col min="168" max="168" width="8" style="4" customWidth="1"/>
    <col min="169" max="169" width="12.85546875" style="4" bestFit="1" customWidth="1"/>
    <col min="170" max="170" width="8" style="4" customWidth="1"/>
    <col min="171" max="171" width="12.85546875" style="4" bestFit="1" customWidth="1"/>
    <col min="172" max="172" width="8" style="4" customWidth="1"/>
    <col min="173" max="173" width="12.85546875" style="4" bestFit="1" customWidth="1"/>
    <col min="174" max="174" width="8" style="4" customWidth="1"/>
    <col min="175" max="175" width="12.85546875" style="4" bestFit="1" customWidth="1"/>
    <col min="176" max="176" width="8" style="4" customWidth="1"/>
    <col min="177" max="177" width="12.85546875" style="4" bestFit="1" customWidth="1"/>
    <col min="178" max="178" width="8" style="4" customWidth="1"/>
    <col min="179" max="179" width="12.85546875" style="4" bestFit="1" customWidth="1"/>
    <col min="180" max="180" width="8" style="4" customWidth="1"/>
    <col min="181" max="181" width="12.85546875" style="4" bestFit="1" customWidth="1"/>
    <col min="182" max="182" width="8" style="4" customWidth="1"/>
    <col min="183" max="183" width="12.85546875" style="4" bestFit="1" customWidth="1"/>
    <col min="184" max="184" width="8" style="4" customWidth="1"/>
    <col min="185" max="185" width="12.85546875" style="4" bestFit="1" customWidth="1"/>
    <col min="186" max="186" width="9" style="4" customWidth="1"/>
    <col min="187" max="187" width="14" style="4" bestFit="1" customWidth="1"/>
    <col min="188" max="188" width="9" style="4" customWidth="1"/>
    <col min="189" max="189" width="14" style="4" bestFit="1" customWidth="1"/>
    <col min="190" max="190" width="9" style="4" customWidth="1"/>
    <col min="191" max="191" width="14" style="4" bestFit="1" customWidth="1"/>
    <col min="192" max="192" width="9" style="4" customWidth="1"/>
    <col min="193" max="193" width="14" style="4" bestFit="1" customWidth="1"/>
    <col min="194" max="194" width="9" style="4" customWidth="1"/>
    <col min="195" max="195" width="14" style="4" bestFit="1" customWidth="1"/>
    <col min="196" max="196" width="9" style="4" customWidth="1"/>
    <col min="197" max="197" width="14" style="4" bestFit="1" customWidth="1"/>
    <col min="198" max="198" width="9" style="4" customWidth="1"/>
    <col min="199" max="199" width="14" style="4" bestFit="1" customWidth="1"/>
    <col min="200" max="200" width="9" style="4" customWidth="1"/>
    <col min="201" max="201" width="14" style="4" bestFit="1" customWidth="1"/>
    <col min="202" max="202" width="9" style="4" customWidth="1"/>
    <col min="203" max="203" width="14" style="4" bestFit="1" customWidth="1"/>
    <col min="204" max="204" width="9" style="4" customWidth="1"/>
    <col min="205" max="205" width="14" style="4" bestFit="1" customWidth="1"/>
    <col min="206" max="206" width="9" style="4" customWidth="1"/>
    <col min="207" max="207" width="14" style="4" bestFit="1" customWidth="1"/>
    <col min="208" max="208" width="9" style="4" customWidth="1"/>
    <col min="209" max="209" width="14" style="4" bestFit="1" customWidth="1"/>
    <col min="210" max="210" width="9" style="4" customWidth="1"/>
    <col min="211" max="211" width="14" style="4" bestFit="1" customWidth="1"/>
    <col min="212" max="212" width="9" style="4" customWidth="1"/>
    <col min="213" max="213" width="14" style="4" bestFit="1" customWidth="1"/>
    <col min="214" max="214" width="9" style="4" customWidth="1"/>
    <col min="215" max="215" width="14" style="4" bestFit="1" customWidth="1"/>
    <col min="216" max="216" width="9" style="4" customWidth="1"/>
    <col min="217" max="217" width="14" style="4" bestFit="1" customWidth="1"/>
    <col min="218" max="218" width="9" style="4" customWidth="1"/>
    <col min="219" max="219" width="14" style="4" bestFit="1" customWidth="1"/>
    <col min="220" max="220" width="9" style="4" customWidth="1"/>
    <col min="221" max="221" width="7.28515625" style="4" customWidth="1"/>
    <col min="222" max="222" width="14" style="4" bestFit="1" customWidth="1"/>
    <col min="223" max="223" width="9" style="4" customWidth="1"/>
    <col min="224" max="224" width="14" style="4" bestFit="1" customWidth="1"/>
    <col min="225" max="225" width="9" style="4" customWidth="1"/>
    <col min="226" max="226" width="14" style="4" bestFit="1" customWidth="1"/>
    <col min="227" max="227" width="9" style="4" customWidth="1"/>
    <col min="228" max="228" width="14" style="4" bestFit="1" customWidth="1"/>
    <col min="229" max="229" width="9" style="4" customWidth="1"/>
    <col min="230" max="230" width="14" style="4" bestFit="1" customWidth="1"/>
    <col min="231" max="231" width="9" style="4" customWidth="1"/>
    <col min="232" max="232" width="14" style="4" bestFit="1" customWidth="1"/>
    <col min="233" max="233" width="9" style="4" customWidth="1"/>
    <col min="234" max="234" width="7.28515625" style="4" customWidth="1"/>
    <col min="235" max="235" width="14" style="4" bestFit="1" customWidth="1"/>
    <col min="236" max="236" width="9" style="4" customWidth="1"/>
    <col min="237" max="237" width="14" style="4" bestFit="1" customWidth="1"/>
    <col min="238" max="238" width="9" style="4" customWidth="1"/>
    <col min="239" max="239" width="14" style="4" bestFit="1" customWidth="1"/>
    <col min="240" max="240" width="9" style="4" customWidth="1"/>
    <col min="241" max="241" width="14" style="4" bestFit="1" customWidth="1"/>
    <col min="242" max="242" width="9" style="4" customWidth="1"/>
    <col min="243" max="243" width="14" style="4" bestFit="1" customWidth="1"/>
    <col min="244" max="244" width="9" style="4" customWidth="1"/>
    <col min="245" max="245" width="14" style="4" bestFit="1" customWidth="1"/>
    <col min="246" max="246" width="9" style="4" customWidth="1"/>
    <col min="247" max="247" width="14" style="4" bestFit="1" customWidth="1"/>
    <col min="248" max="248" width="9" style="4" customWidth="1"/>
    <col min="249" max="249" width="14" style="4" bestFit="1" customWidth="1"/>
    <col min="250" max="250" width="9" style="4" customWidth="1"/>
    <col min="251" max="251" width="14" style="4" bestFit="1" customWidth="1"/>
    <col min="252" max="252" width="9" style="4" customWidth="1"/>
    <col min="253" max="253" width="14" style="4" bestFit="1" customWidth="1"/>
    <col min="254" max="254" width="9" style="4" customWidth="1"/>
    <col min="255" max="255" width="14" style="4" bestFit="1" customWidth="1"/>
    <col min="256" max="256" width="9" style="4" customWidth="1"/>
    <col min="257" max="257" width="14" style="4" bestFit="1" customWidth="1"/>
    <col min="258" max="258" width="9" style="4" customWidth="1"/>
    <col min="259" max="259" width="14" style="4" bestFit="1" customWidth="1"/>
    <col min="260" max="260" width="9" style="4" customWidth="1"/>
    <col min="261" max="261" width="14" style="4" bestFit="1" customWidth="1"/>
    <col min="262" max="262" width="9" style="4" customWidth="1"/>
    <col min="263" max="263" width="14" style="4" bestFit="1" customWidth="1"/>
    <col min="264" max="264" width="9" style="4" customWidth="1"/>
    <col min="265" max="265" width="14" style="4" bestFit="1" customWidth="1"/>
    <col min="266" max="266" width="9" style="4" customWidth="1"/>
    <col min="267" max="267" width="14" style="4" bestFit="1" customWidth="1"/>
    <col min="268" max="268" width="9" style="4" customWidth="1"/>
    <col min="269" max="269" width="14" style="4" bestFit="1" customWidth="1"/>
    <col min="270" max="270" width="9" style="4" customWidth="1"/>
    <col min="271" max="271" width="14" style="4" bestFit="1" customWidth="1"/>
    <col min="272" max="272" width="9" style="4" customWidth="1"/>
    <col min="273" max="273" width="14" style="4" bestFit="1" customWidth="1"/>
    <col min="274" max="274" width="9" style="4" customWidth="1"/>
    <col min="275" max="275" width="14" style="4" bestFit="1" customWidth="1"/>
    <col min="276" max="276" width="9" style="4" customWidth="1"/>
    <col min="277" max="277" width="14" style="4" bestFit="1" customWidth="1"/>
    <col min="278" max="278" width="9" style="4" customWidth="1"/>
    <col min="279" max="279" width="14" style="4" bestFit="1" customWidth="1"/>
    <col min="280" max="280" width="9" style="4" customWidth="1"/>
    <col min="281" max="281" width="14" style="4" bestFit="1" customWidth="1"/>
    <col min="282" max="282" width="10.5703125" style="4" bestFit="1" customWidth="1"/>
    <col min="283" max="283" width="15.5703125" style="4" bestFit="1" customWidth="1"/>
    <col min="284" max="284" width="11.28515625" style="4" bestFit="1" customWidth="1"/>
    <col min="285" max="16384" width="9.140625" style="4"/>
  </cols>
  <sheetData>
    <row r="1" spans="1:19" x14ac:dyDescent="0.25">
      <c r="A1" s="19" t="s">
        <v>11</v>
      </c>
      <c r="B1" s="4" t="s">
        <v>154</v>
      </c>
    </row>
    <row r="3" spans="1:19" x14ac:dyDescent="0.25">
      <c r="A3" s="19" t="s">
        <v>114</v>
      </c>
      <c r="B3" s="4" t="s">
        <v>155</v>
      </c>
      <c r="C3" s="4" t="s">
        <v>168</v>
      </c>
      <c r="D3" s="4" t="s">
        <v>157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</row>
    <row r="4" spans="1:19" x14ac:dyDescent="0.25">
      <c r="A4" s="20" t="s">
        <v>45</v>
      </c>
      <c r="B4" s="4">
        <v>60000</v>
      </c>
      <c r="D4" s="4">
        <v>60000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</row>
    <row r="5" spans="1:19" x14ac:dyDescent="0.25">
      <c r="A5" s="20" t="s">
        <v>107</v>
      </c>
      <c r="B5" s="4">
        <v>11200</v>
      </c>
      <c r="C5" s="4">
        <v>5000</v>
      </c>
      <c r="D5" s="4">
        <v>6200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</row>
    <row r="6" spans="1:19" x14ac:dyDescent="0.25">
      <c r="A6" s="20" t="s">
        <v>67</v>
      </c>
      <c r="B6" s="4">
        <v>108500</v>
      </c>
      <c r="C6" s="4">
        <v>1000</v>
      </c>
      <c r="D6" s="4">
        <v>107500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</row>
    <row r="7" spans="1:19" x14ac:dyDescent="0.25">
      <c r="A7" s="20" t="s">
        <v>68</v>
      </c>
      <c r="B7" s="4">
        <v>14000</v>
      </c>
      <c r="D7" s="4">
        <v>14000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</row>
    <row r="8" spans="1:19" x14ac:dyDescent="0.25">
      <c r="A8" s="20" t="s">
        <v>40</v>
      </c>
      <c r="B8" s="4">
        <v>59800</v>
      </c>
      <c r="D8" s="4">
        <v>59800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</row>
    <row r="9" spans="1:19" x14ac:dyDescent="0.25">
      <c r="A9" s="20" t="s">
        <v>39</v>
      </c>
      <c r="B9" s="4">
        <v>238000</v>
      </c>
      <c r="D9" s="4">
        <v>238000</v>
      </c>
      <c r="E9"/>
      <c r="F9"/>
      <c r="G9"/>
      <c r="H9" s="24" t="s">
        <v>199</v>
      </c>
      <c r="I9"/>
      <c r="J9"/>
      <c r="K9"/>
      <c r="L9"/>
      <c r="M9"/>
      <c r="N9"/>
      <c r="O9"/>
      <c r="P9"/>
      <c r="Q9"/>
      <c r="R9"/>
      <c r="S9"/>
    </row>
    <row r="10" spans="1:19" x14ac:dyDescent="0.25">
      <c r="A10" s="20" t="s">
        <v>100</v>
      </c>
      <c r="B10" s="4">
        <v>20000</v>
      </c>
      <c r="C10" s="4">
        <v>20000</v>
      </c>
      <c r="D10" s="4">
        <v>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</row>
    <row r="11" spans="1:19" x14ac:dyDescent="0.25">
      <c r="A11" s="20" t="s">
        <v>56</v>
      </c>
      <c r="B11" s="4">
        <v>11700</v>
      </c>
      <c r="C11" s="4">
        <v>200</v>
      </c>
      <c r="D11" s="4">
        <v>11500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</row>
    <row r="12" spans="1:19" x14ac:dyDescent="0.25">
      <c r="A12" s="20" t="s">
        <v>95</v>
      </c>
      <c r="B12" s="4">
        <v>11200</v>
      </c>
      <c r="D12" s="4">
        <v>11200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</row>
    <row r="13" spans="1:19" x14ac:dyDescent="0.25">
      <c r="A13" s="20" t="s">
        <v>73</v>
      </c>
      <c r="B13" s="4">
        <v>283200</v>
      </c>
      <c r="D13" s="4">
        <v>283200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19" x14ac:dyDescent="0.25">
      <c r="A14" s="20" t="s">
        <v>33</v>
      </c>
      <c r="B14" s="4">
        <v>45250</v>
      </c>
      <c r="D14" s="4">
        <v>45250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19" x14ac:dyDescent="0.25">
      <c r="A15" s="20" t="s">
        <v>50</v>
      </c>
      <c r="B15" s="4">
        <v>727500</v>
      </c>
      <c r="D15" s="4">
        <v>727500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19" x14ac:dyDescent="0.25">
      <c r="A16" s="20" t="s">
        <v>34</v>
      </c>
      <c r="B16" s="4">
        <v>145000</v>
      </c>
      <c r="D16" s="4">
        <v>145000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 t="s">
        <v>59</v>
      </c>
      <c r="B17" s="4">
        <v>221500</v>
      </c>
      <c r="D17" s="4">
        <v>221500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 t="s">
        <v>53</v>
      </c>
      <c r="B18" s="4">
        <v>2800</v>
      </c>
      <c r="D18" s="4">
        <v>2800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 t="s">
        <v>54</v>
      </c>
      <c r="B19" s="4">
        <v>5280</v>
      </c>
      <c r="D19" s="4">
        <v>5280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 t="s">
        <v>76</v>
      </c>
      <c r="B20" s="4">
        <v>240000</v>
      </c>
      <c r="D20" s="4">
        <v>240000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 t="s">
        <v>83</v>
      </c>
      <c r="B21" s="4">
        <v>11180</v>
      </c>
      <c r="D21" s="4">
        <v>11180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 t="s">
        <v>78</v>
      </c>
      <c r="B22" s="4">
        <v>31500</v>
      </c>
      <c r="D22" s="4">
        <v>31500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 t="s">
        <v>99</v>
      </c>
      <c r="B23" s="4">
        <v>480000</v>
      </c>
      <c r="D23" s="4">
        <v>480000</v>
      </c>
    </row>
    <row r="24" spans="1:19" x14ac:dyDescent="0.25">
      <c r="A24" s="20" t="s">
        <v>91</v>
      </c>
      <c r="B24" s="4">
        <v>915050</v>
      </c>
      <c r="D24" s="4">
        <v>915050</v>
      </c>
    </row>
    <row r="25" spans="1:19" x14ac:dyDescent="0.25">
      <c r="A25" s="20" t="s">
        <v>36</v>
      </c>
      <c r="B25" s="4">
        <v>3600</v>
      </c>
      <c r="D25" s="4">
        <v>3600</v>
      </c>
    </row>
    <row r="26" spans="1:19" x14ac:dyDescent="0.25">
      <c r="A26" s="20" t="s">
        <v>37</v>
      </c>
      <c r="B26" s="4">
        <v>600</v>
      </c>
      <c r="D26" s="4">
        <v>600</v>
      </c>
    </row>
    <row r="27" spans="1:19" x14ac:dyDescent="0.25">
      <c r="A27" s="20" t="s">
        <v>63</v>
      </c>
      <c r="B27" s="4">
        <v>5600</v>
      </c>
      <c r="D27" s="4">
        <v>5600</v>
      </c>
    </row>
    <row r="28" spans="1:19" x14ac:dyDescent="0.25">
      <c r="A28" s="20" t="s">
        <v>84</v>
      </c>
      <c r="B28" s="4">
        <v>1043910</v>
      </c>
      <c r="D28" s="4">
        <v>1043910</v>
      </c>
    </row>
    <row r="29" spans="1:19" x14ac:dyDescent="0.25">
      <c r="A29" s="20" t="s">
        <v>81</v>
      </c>
      <c r="B29" s="4">
        <v>67500</v>
      </c>
      <c r="D29" s="4">
        <v>67500</v>
      </c>
    </row>
    <row r="30" spans="1:19" x14ac:dyDescent="0.25">
      <c r="A30" s="20" t="s">
        <v>79</v>
      </c>
      <c r="B30" s="4">
        <v>70200</v>
      </c>
      <c r="D30" s="4">
        <v>70200</v>
      </c>
    </row>
    <row r="31" spans="1:19" x14ac:dyDescent="0.25">
      <c r="A31" s="20" t="s">
        <v>80</v>
      </c>
      <c r="B31" s="4">
        <v>3200</v>
      </c>
      <c r="D31" s="4">
        <v>3200</v>
      </c>
    </row>
    <row r="32" spans="1:19" x14ac:dyDescent="0.25">
      <c r="A32" s="20" t="s">
        <v>69</v>
      </c>
      <c r="B32" s="4">
        <v>197000</v>
      </c>
      <c r="D32" s="4">
        <v>197000</v>
      </c>
    </row>
    <row r="33" spans="1:4" x14ac:dyDescent="0.25">
      <c r="A33" s="20" t="s">
        <v>88</v>
      </c>
      <c r="B33" s="4">
        <v>75950</v>
      </c>
      <c r="D33" s="4">
        <v>75950</v>
      </c>
    </row>
    <row r="34" spans="1:4" x14ac:dyDescent="0.25">
      <c r="A34" s="20" t="s">
        <v>113</v>
      </c>
      <c r="B34" s="4">
        <v>30600</v>
      </c>
      <c r="D34" s="4">
        <v>30600</v>
      </c>
    </row>
    <row r="35" spans="1:4" x14ac:dyDescent="0.25">
      <c r="A35" s="20" t="s">
        <v>105</v>
      </c>
      <c r="B35" s="4">
        <v>36500</v>
      </c>
      <c r="D35" s="4">
        <v>36500</v>
      </c>
    </row>
    <row r="36" spans="1:4" x14ac:dyDescent="0.25">
      <c r="A36" s="20" t="s">
        <v>111</v>
      </c>
      <c r="B36" s="4">
        <v>170000</v>
      </c>
      <c r="D36" s="4">
        <v>170000</v>
      </c>
    </row>
    <row r="37" spans="1:4" x14ac:dyDescent="0.25">
      <c r="A37" s="20" t="s">
        <v>101</v>
      </c>
      <c r="B37" s="4">
        <v>16800</v>
      </c>
      <c r="D37" s="4">
        <v>16800</v>
      </c>
    </row>
    <row r="38" spans="1:4" x14ac:dyDescent="0.25">
      <c r="A38" s="20" t="s">
        <v>89</v>
      </c>
      <c r="B38" s="4">
        <v>54000</v>
      </c>
      <c r="D38" s="4">
        <v>54000</v>
      </c>
    </row>
    <row r="39" spans="1:4" x14ac:dyDescent="0.25">
      <c r="A39" s="20" t="s">
        <v>92</v>
      </c>
      <c r="B39" s="4">
        <v>464400</v>
      </c>
      <c r="D39" s="4">
        <v>464400</v>
      </c>
    </row>
    <row r="40" spans="1:4" x14ac:dyDescent="0.25">
      <c r="A40" s="20" t="s">
        <v>109</v>
      </c>
      <c r="B40" s="4">
        <v>812500</v>
      </c>
      <c r="D40" s="4">
        <v>812500</v>
      </c>
    </row>
    <row r="41" spans="1:4" x14ac:dyDescent="0.25">
      <c r="A41" s="20" t="s">
        <v>93</v>
      </c>
      <c r="B41" s="4">
        <v>22500</v>
      </c>
      <c r="D41" s="4">
        <v>22500</v>
      </c>
    </row>
    <row r="42" spans="1:4" x14ac:dyDescent="0.25">
      <c r="A42" s="20" t="s">
        <v>112</v>
      </c>
      <c r="B42" s="4">
        <v>18000</v>
      </c>
      <c r="D42" s="4">
        <v>18000</v>
      </c>
    </row>
    <row r="43" spans="1:4" x14ac:dyDescent="0.25">
      <c r="A43" s="20" t="s">
        <v>106</v>
      </c>
      <c r="B43" s="4">
        <v>143500</v>
      </c>
      <c r="D43" s="4">
        <v>143500</v>
      </c>
    </row>
    <row r="44" spans="1:4" x14ac:dyDescent="0.25">
      <c r="A44" s="20" t="s">
        <v>30</v>
      </c>
      <c r="B44" s="4">
        <v>449000</v>
      </c>
      <c r="C44" s="4">
        <v>6000</v>
      </c>
      <c r="D44" s="4">
        <v>443000</v>
      </c>
    </row>
    <row r="45" spans="1:4" x14ac:dyDescent="0.25">
      <c r="A45" s="20" t="s">
        <v>62</v>
      </c>
      <c r="B45" s="4">
        <v>24600</v>
      </c>
      <c r="C45" s="4">
        <v>100</v>
      </c>
      <c r="D45" s="4">
        <v>24500</v>
      </c>
    </row>
    <row r="46" spans="1:4" x14ac:dyDescent="0.25">
      <c r="A46" s="20" t="s">
        <v>77</v>
      </c>
      <c r="B46" s="4">
        <v>74000</v>
      </c>
      <c r="D46" s="4">
        <v>74000</v>
      </c>
    </row>
    <row r="47" spans="1:4" x14ac:dyDescent="0.25">
      <c r="A47" s="20" t="s">
        <v>48</v>
      </c>
      <c r="B47" s="4">
        <v>60000</v>
      </c>
      <c r="C47" s="4">
        <v>40000</v>
      </c>
      <c r="D47" s="4">
        <v>20000</v>
      </c>
    </row>
    <row r="48" spans="1:4" x14ac:dyDescent="0.25">
      <c r="A48" s="20" t="s">
        <v>52</v>
      </c>
      <c r="B48" s="4">
        <v>73300</v>
      </c>
      <c r="C48" s="4">
        <v>700</v>
      </c>
      <c r="D48" s="4">
        <v>72600</v>
      </c>
    </row>
    <row r="49" spans="1:4" x14ac:dyDescent="0.25">
      <c r="A49" s="20" t="s">
        <v>51</v>
      </c>
      <c r="B49" s="4">
        <v>751900</v>
      </c>
      <c r="D49" s="4">
        <v>751900</v>
      </c>
    </row>
    <row r="50" spans="1:4" x14ac:dyDescent="0.25">
      <c r="A50" s="20" t="s">
        <v>61</v>
      </c>
      <c r="B50" s="4">
        <v>154000</v>
      </c>
      <c r="D50" s="4">
        <v>154000</v>
      </c>
    </row>
    <row r="51" spans="1:4" x14ac:dyDescent="0.25">
      <c r="A51" s="20" t="s">
        <v>75</v>
      </c>
      <c r="B51" s="4">
        <v>12000</v>
      </c>
      <c r="D51" s="4">
        <v>12000</v>
      </c>
    </row>
    <row r="52" spans="1:4" x14ac:dyDescent="0.25">
      <c r="A52" s="20" t="s">
        <v>27</v>
      </c>
      <c r="B52" s="4">
        <v>56000</v>
      </c>
      <c r="D52" s="4">
        <v>56000</v>
      </c>
    </row>
    <row r="53" spans="1:4" x14ac:dyDescent="0.25">
      <c r="A53" s="20" t="s">
        <v>136</v>
      </c>
      <c r="B53" s="4">
        <v>150000</v>
      </c>
      <c r="D53" s="4">
        <v>150000</v>
      </c>
    </row>
    <row r="54" spans="1:4" x14ac:dyDescent="0.25">
      <c r="A54" s="20" t="s">
        <v>87</v>
      </c>
      <c r="B54" s="4">
        <v>489500</v>
      </c>
      <c r="D54" s="4">
        <v>489500</v>
      </c>
    </row>
    <row r="55" spans="1:4" x14ac:dyDescent="0.25">
      <c r="A55" s="20" t="s">
        <v>74</v>
      </c>
      <c r="B55" s="4">
        <v>91200</v>
      </c>
      <c r="D55" s="4">
        <v>91200</v>
      </c>
    </row>
    <row r="56" spans="1:4" x14ac:dyDescent="0.25">
      <c r="A56" s="20" t="s">
        <v>104</v>
      </c>
      <c r="B56" s="4">
        <v>237500</v>
      </c>
      <c r="D56" s="4">
        <v>237500</v>
      </c>
    </row>
    <row r="57" spans="1:4" x14ac:dyDescent="0.25">
      <c r="A57" s="20" t="s">
        <v>44</v>
      </c>
      <c r="B57" s="4">
        <v>2439100</v>
      </c>
      <c r="C57" s="4">
        <v>17500</v>
      </c>
      <c r="D57" s="4">
        <v>2421600</v>
      </c>
    </row>
    <row r="58" spans="1:4" x14ac:dyDescent="0.25">
      <c r="A58" s="20" t="s">
        <v>98</v>
      </c>
      <c r="B58" s="4">
        <v>522500</v>
      </c>
      <c r="D58" s="4">
        <v>522500</v>
      </c>
    </row>
    <row r="59" spans="1:4" x14ac:dyDescent="0.25">
      <c r="A59" s="20" t="s">
        <v>55</v>
      </c>
      <c r="B59" s="4">
        <v>7030</v>
      </c>
      <c r="C59" s="4">
        <v>30</v>
      </c>
      <c r="D59" s="4">
        <v>7000</v>
      </c>
    </row>
    <row r="60" spans="1:4" x14ac:dyDescent="0.25">
      <c r="A60" s="20" t="s">
        <v>71</v>
      </c>
      <c r="B60" s="4">
        <v>140000</v>
      </c>
      <c r="D60" s="4">
        <v>140000</v>
      </c>
    </row>
    <row r="61" spans="1:4" x14ac:dyDescent="0.25">
      <c r="A61" s="20" t="s">
        <v>32</v>
      </c>
      <c r="B61" s="4">
        <v>39000</v>
      </c>
      <c r="D61" s="4">
        <v>39000</v>
      </c>
    </row>
    <row r="62" spans="1:4" x14ac:dyDescent="0.25">
      <c r="A62" s="20" t="s">
        <v>46</v>
      </c>
      <c r="B62" s="4">
        <v>105000</v>
      </c>
      <c r="D62" s="4">
        <v>105000</v>
      </c>
    </row>
    <row r="63" spans="1:4" x14ac:dyDescent="0.25">
      <c r="A63" s="20" t="s">
        <v>64</v>
      </c>
      <c r="B63" s="4">
        <v>5250</v>
      </c>
      <c r="D63" s="4">
        <v>5250</v>
      </c>
    </row>
    <row r="64" spans="1:4" x14ac:dyDescent="0.25">
      <c r="A64" s="20" t="s">
        <v>57</v>
      </c>
      <c r="B64" s="4">
        <v>20000</v>
      </c>
      <c r="D64" s="4">
        <v>20000</v>
      </c>
    </row>
    <row r="65" spans="1:4" x14ac:dyDescent="0.25">
      <c r="A65" s="20" t="s">
        <v>86</v>
      </c>
      <c r="B65" s="4">
        <v>14400</v>
      </c>
      <c r="D65" s="4">
        <v>14400</v>
      </c>
    </row>
    <row r="66" spans="1:4" x14ac:dyDescent="0.25">
      <c r="A66" s="20" t="s">
        <v>58</v>
      </c>
      <c r="B66" s="4">
        <v>39240</v>
      </c>
      <c r="D66" s="4">
        <v>39240</v>
      </c>
    </row>
    <row r="67" spans="1:4" x14ac:dyDescent="0.25">
      <c r="A67" s="20" t="s">
        <v>70</v>
      </c>
      <c r="B67" s="4">
        <v>688000</v>
      </c>
      <c r="D67" s="4">
        <v>688000</v>
      </c>
    </row>
    <row r="68" spans="1:4" x14ac:dyDescent="0.25">
      <c r="A68" s="20" t="s">
        <v>90</v>
      </c>
      <c r="B68" s="4">
        <v>240000</v>
      </c>
      <c r="D68" s="4">
        <v>240000</v>
      </c>
    </row>
    <row r="69" spans="1:4" x14ac:dyDescent="0.25">
      <c r="A69" s="20" t="s">
        <v>66</v>
      </c>
      <c r="B69" s="4">
        <v>137440</v>
      </c>
      <c r="D69" s="4">
        <v>137440</v>
      </c>
    </row>
    <row r="70" spans="1:4" x14ac:dyDescent="0.25">
      <c r="A70" s="20" t="s">
        <v>72</v>
      </c>
      <c r="B70" s="4">
        <v>51000</v>
      </c>
      <c r="D70" s="4">
        <v>51000</v>
      </c>
    </row>
    <row r="71" spans="1:4" x14ac:dyDescent="0.25">
      <c r="A71" s="20" t="s">
        <v>108</v>
      </c>
      <c r="B71" s="4">
        <v>356000</v>
      </c>
      <c r="D71" s="4">
        <v>356000</v>
      </c>
    </row>
    <row r="72" spans="1:4" x14ac:dyDescent="0.25">
      <c r="A72" s="20" t="s">
        <v>49</v>
      </c>
      <c r="B72" s="4">
        <v>1469450</v>
      </c>
      <c r="C72" s="4">
        <v>50250</v>
      </c>
      <c r="D72" s="4">
        <v>1419200</v>
      </c>
    </row>
    <row r="73" spans="1:4" x14ac:dyDescent="0.25">
      <c r="A73" s="20" t="s">
        <v>96</v>
      </c>
      <c r="B73" s="4">
        <v>100000</v>
      </c>
      <c r="D73" s="4">
        <v>100000</v>
      </c>
    </row>
    <row r="74" spans="1:4" x14ac:dyDescent="0.25">
      <c r="A74" s="20" t="s">
        <v>31</v>
      </c>
      <c r="B74" s="4">
        <v>3240</v>
      </c>
      <c r="C74" s="4">
        <v>140</v>
      </c>
      <c r="D74" s="4">
        <v>3100</v>
      </c>
    </row>
    <row r="75" spans="1:4" x14ac:dyDescent="0.25">
      <c r="A75" s="20" t="s">
        <v>110</v>
      </c>
      <c r="B75" s="4">
        <v>405000</v>
      </c>
      <c r="C75" s="28"/>
      <c r="D75" s="4">
        <v>405000</v>
      </c>
    </row>
    <row r="76" spans="1:4" x14ac:dyDescent="0.25">
      <c r="A76" s="20" t="s">
        <v>82</v>
      </c>
      <c r="B76" s="4">
        <v>1301500</v>
      </c>
      <c r="D76" s="4">
        <v>1301500</v>
      </c>
    </row>
    <row r="77" spans="1:4" x14ac:dyDescent="0.25">
      <c r="A77" s="20" t="s">
        <v>47</v>
      </c>
      <c r="B77" s="4">
        <v>157500</v>
      </c>
      <c r="D77" s="4">
        <v>157500</v>
      </c>
    </row>
    <row r="78" spans="1:4" x14ac:dyDescent="0.25">
      <c r="A78" s="20" t="s">
        <v>102</v>
      </c>
      <c r="B78" s="4">
        <v>36000</v>
      </c>
      <c r="D78" s="4">
        <v>36000</v>
      </c>
    </row>
    <row r="79" spans="1:4" x14ac:dyDescent="0.25">
      <c r="A79" s="20" t="s">
        <v>94</v>
      </c>
      <c r="B79" s="4">
        <v>34560</v>
      </c>
      <c r="D79" s="4">
        <v>34560</v>
      </c>
    </row>
    <row r="80" spans="1:4" x14ac:dyDescent="0.25">
      <c r="A80" s="20" t="s">
        <v>42</v>
      </c>
      <c r="B80" s="4">
        <v>128000</v>
      </c>
      <c r="D80" s="4">
        <v>128000</v>
      </c>
    </row>
    <row r="81" spans="1:7" x14ac:dyDescent="0.25">
      <c r="A81" s="20" t="s">
        <v>41</v>
      </c>
      <c r="B81" s="4">
        <v>4800</v>
      </c>
      <c r="C81" s="4">
        <v>4300</v>
      </c>
      <c r="D81" s="4">
        <v>500</v>
      </c>
    </row>
    <row r="82" spans="1:7" x14ac:dyDescent="0.25">
      <c r="A82" s="20" t="s">
        <v>29</v>
      </c>
      <c r="B82" s="4">
        <v>206250</v>
      </c>
      <c r="D82" s="4">
        <v>206250</v>
      </c>
    </row>
    <row r="83" spans="1:7" x14ac:dyDescent="0.25">
      <c r="A83" s="20" t="s">
        <v>97</v>
      </c>
      <c r="B83" s="4">
        <v>20000</v>
      </c>
      <c r="D83" s="4">
        <v>20000</v>
      </c>
    </row>
    <row r="84" spans="1:7" x14ac:dyDescent="0.25">
      <c r="A84" s="20" t="s">
        <v>85</v>
      </c>
      <c r="B84" s="4">
        <v>73500</v>
      </c>
      <c r="C84" s="4">
        <v>2150</v>
      </c>
      <c r="D84" s="4">
        <v>71350</v>
      </c>
    </row>
    <row r="85" spans="1:7" x14ac:dyDescent="0.25">
      <c r="A85" s="20" t="s">
        <v>35</v>
      </c>
      <c r="B85" s="4">
        <v>1000</v>
      </c>
      <c r="D85" s="4">
        <v>1000</v>
      </c>
    </row>
    <row r="86" spans="1:7" x14ac:dyDescent="0.25">
      <c r="A86" s="20" t="s">
        <v>43</v>
      </c>
      <c r="B86" s="4">
        <v>4800</v>
      </c>
      <c r="D86" s="4">
        <v>4800</v>
      </c>
    </row>
    <row r="87" spans="1:7" x14ac:dyDescent="0.25">
      <c r="A87" s="20" t="s">
        <v>60</v>
      </c>
      <c r="B87" s="4">
        <v>6080</v>
      </c>
      <c r="D87" s="4">
        <v>6080</v>
      </c>
    </row>
    <row r="88" spans="1:7" x14ac:dyDescent="0.25">
      <c r="A88" s="20" t="s">
        <v>65</v>
      </c>
      <c r="B88" s="4">
        <v>8750</v>
      </c>
      <c r="D88" s="4">
        <v>8750</v>
      </c>
    </row>
    <row r="89" spans="1:7" x14ac:dyDescent="0.25">
      <c r="A89" s="20" t="s">
        <v>135</v>
      </c>
      <c r="B89" s="4">
        <v>294500</v>
      </c>
      <c r="C89" s="4">
        <v>8000</v>
      </c>
      <c r="D89" s="4">
        <v>286500</v>
      </c>
      <c r="G89" s="29" t="s">
        <v>169</v>
      </c>
    </row>
    <row r="90" spans="1:7" x14ac:dyDescent="0.25">
      <c r="A90" s="20" t="s">
        <v>103</v>
      </c>
      <c r="B90" s="4">
        <v>30400</v>
      </c>
      <c r="C90" s="4">
        <v>30400</v>
      </c>
      <c r="D90" s="4">
        <v>0</v>
      </c>
    </row>
    <row r="91" spans="1:7" x14ac:dyDescent="0.25">
      <c r="A91" s="20" t="s">
        <v>156</v>
      </c>
      <c r="B91" s="4">
        <v>228000</v>
      </c>
      <c r="D91" s="4">
        <v>228000</v>
      </c>
    </row>
    <row r="92" spans="1:7" x14ac:dyDescent="0.25">
      <c r="A92" s="20" t="s">
        <v>115</v>
      </c>
      <c r="B92" s="4">
        <v>18819310</v>
      </c>
      <c r="C92" s="4">
        <v>185770</v>
      </c>
      <c r="D92" s="4">
        <v>18633540</v>
      </c>
    </row>
    <row r="93" spans="1:7" x14ac:dyDescent="0.25">
      <c r="A93"/>
      <c r="B93"/>
      <c r="C93"/>
    </row>
    <row r="94" spans="1:7" x14ac:dyDescent="0.25">
      <c r="A94"/>
      <c r="B94"/>
      <c r="C94"/>
    </row>
    <row r="95" spans="1:7" x14ac:dyDescent="0.25">
      <c r="A95"/>
      <c r="B95"/>
      <c r="C95"/>
    </row>
    <row r="96" spans="1:7" x14ac:dyDescent="0.25">
      <c r="A96"/>
      <c r="B96"/>
      <c r="C96"/>
    </row>
  </sheetData>
  <pageMargins left="0.7" right="0.7" top="0.75" bottom="0.75" header="0.3" footer="0.3"/>
  <pageSetup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88"/>
  <sheetViews>
    <sheetView topLeftCell="A25" workbookViewId="0">
      <selection activeCell="E87" sqref="D87:E87"/>
    </sheetView>
  </sheetViews>
  <sheetFormatPr defaultRowHeight="15" x14ac:dyDescent="0.25"/>
  <cols>
    <col min="1" max="1" width="13.140625" bestFit="1" customWidth="1"/>
    <col min="2" max="2" width="20" style="2" customWidth="1"/>
    <col min="3" max="4" width="20" customWidth="1"/>
    <col min="5" max="5" width="26.42578125" style="25" customWidth="1"/>
    <col min="6" max="6" width="20.5703125" style="25" customWidth="1"/>
    <col min="7" max="7" width="16.42578125" style="25" customWidth="1"/>
    <col min="8" max="8" width="17.7109375" style="25" customWidth="1"/>
    <col min="10" max="10" width="9.140625" style="41"/>
  </cols>
  <sheetData>
    <row r="3" spans="1:10" ht="15.75" x14ac:dyDescent="0.25">
      <c r="A3" s="21" t="s">
        <v>114</v>
      </c>
      <c r="B3" s="67" t="s">
        <v>212</v>
      </c>
      <c r="C3" s="67" t="s">
        <v>211</v>
      </c>
      <c r="D3" s="67" t="s">
        <v>210</v>
      </c>
      <c r="E3" s="67" t="s">
        <v>159</v>
      </c>
      <c r="F3" t="s">
        <v>161</v>
      </c>
      <c r="G3" t="s">
        <v>158</v>
      </c>
      <c r="H3" t="s">
        <v>160</v>
      </c>
      <c r="J3" s="81" t="s">
        <v>219</v>
      </c>
    </row>
    <row r="4" spans="1:10" x14ac:dyDescent="0.25">
      <c r="A4" s="43">
        <v>2021</v>
      </c>
      <c r="B4" s="67">
        <v>1020</v>
      </c>
      <c r="C4" s="67">
        <v>500</v>
      </c>
      <c r="D4" s="67">
        <v>336</v>
      </c>
      <c r="E4" s="67">
        <v>1856</v>
      </c>
      <c r="F4" s="2"/>
      <c r="G4" s="2">
        <v>276125</v>
      </c>
      <c r="H4" s="2">
        <v>-276125</v>
      </c>
      <c r="J4" s="41">
        <f>GETPIVOTDATA("Sum of Total Profit",$A$3,"ANUALLY",2021)/GETPIVOTDATA("Sum of Total Cost",$A$3,"ANUALLY",2021)</f>
        <v>-1</v>
      </c>
    </row>
    <row r="5" spans="1:10" x14ac:dyDescent="0.25">
      <c r="A5" s="44">
        <v>44531</v>
      </c>
      <c r="B5" s="67">
        <v>1020</v>
      </c>
      <c r="C5" s="67">
        <v>500</v>
      </c>
      <c r="D5" s="67">
        <v>336</v>
      </c>
      <c r="E5" s="67">
        <v>1856</v>
      </c>
      <c r="F5" s="2"/>
      <c r="G5" s="2">
        <v>276125</v>
      </c>
      <c r="H5" s="2">
        <v>-276125</v>
      </c>
    </row>
    <row r="6" spans="1:10" x14ac:dyDescent="0.25">
      <c r="A6" s="43">
        <v>2022</v>
      </c>
      <c r="B6" s="67">
        <v>6589</v>
      </c>
      <c r="C6" s="67">
        <v>3442</v>
      </c>
      <c r="D6" s="67">
        <v>8528</v>
      </c>
      <c r="E6" s="67">
        <v>18559</v>
      </c>
      <c r="F6" s="2">
        <v>6068380</v>
      </c>
      <c r="G6" s="2">
        <v>5092800</v>
      </c>
      <c r="H6" s="2">
        <v>975580</v>
      </c>
      <c r="J6" s="41">
        <f>GETPIVOTDATA("Sum of Total Profit",$A$3,"ANUALLY",2022)/GETPIVOTDATA("Sum of Total Cost",$A$3,"ANUALLY",2022)</f>
        <v>0.19156063462142633</v>
      </c>
    </row>
    <row r="7" spans="1:10" x14ac:dyDescent="0.25">
      <c r="A7" s="44">
        <v>44562</v>
      </c>
      <c r="B7" s="67"/>
      <c r="C7" s="67"/>
      <c r="D7" s="67"/>
      <c r="E7" s="67"/>
      <c r="F7" s="2">
        <v>340250</v>
      </c>
      <c r="G7" s="2">
        <v>63700</v>
      </c>
      <c r="H7" s="2">
        <v>276550</v>
      </c>
    </row>
    <row r="8" spans="1:10" x14ac:dyDescent="0.25">
      <c r="A8" s="44">
        <v>44593</v>
      </c>
      <c r="B8" s="67">
        <v>900</v>
      </c>
      <c r="C8" s="67">
        <v>1250</v>
      </c>
      <c r="D8" s="67">
        <v>210</v>
      </c>
      <c r="E8" s="67">
        <v>2360</v>
      </c>
      <c r="F8" s="2">
        <v>347950</v>
      </c>
      <c r="G8" s="2">
        <v>472150</v>
      </c>
      <c r="H8" s="2">
        <v>-124200</v>
      </c>
    </row>
    <row r="9" spans="1:10" x14ac:dyDescent="0.25">
      <c r="A9" s="44">
        <v>44621</v>
      </c>
      <c r="B9" s="67">
        <v>440</v>
      </c>
      <c r="C9" s="67">
        <v>96</v>
      </c>
      <c r="D9" s="67">
        <v>252</v>
      </c>
      <c r="E9" s="67">
        <v>788</v>
      </c>
      <c r="F9" s="2">
        <v>257600</v>
      </c>
      <c r="G9" s="2">
        <v>255900</v>
      </c>
      <c r="H9" s="2">
        <v>1700</v>
      </c>
    </row>
    <row r="10" spans="1:10" x14ac:dyDescent="0.25">
      <c r="A10" s="44">
        <v>44652</v>
      </c>
      <c r="B10" s="67"/>
      <c r="C10" s="67">
        <v>700</v>
      </c>
      <c r="D10" s="67">
        <v>798</v>
      </c>
      <c r="E10" s="67">
        <v>1498</v>
      </c>
      <c r="F10" s="2">
        <v>521800</v>
      </c>
      <c r="G10" s="2">
        <v>340400</v>
      </c>
      <c r="H10" s="2">
        <v>181400</v>
      </c>
    </row>
    <row r="11" spans="1:10" x14ac:dyDescent="0.25">
      <c r="A11" s="44">
        <v>44682</v>
      </c>
      <c r="B11" s="67"/>
      <c r="C11" s="67">
        <v>546</v>
      </c>
      <c r="D11" s="67"/>
      <c r="E11" s="67">
        <v>546</v>
      </c>
      <c r="F11" s="2">
        <v>114700</v>
      </c>
      <c r="G11" s="2">
        <v>115800</v>
      </c>
      <c r="H11" s="2">
        <v>-1100</v>
      </c>
    </row>
    <row r="12" spans="1:10" x14ac:dyDescent="0.25">
      <c r="A12" s="44">
        <v>44713</v>
      </c>
      <c r="B12" s="67"/>
      <c r="C12" s="67"/>
      <c r="D12" s="67">
        <v>645</v>
      </c>
      <c r="E12" s="67">
        <v>645</v>
      </c>
      <c r="F12" s="2">
        <v>222800</v>
      </c>
      <c r="G12" s="2">
        <v>261800</v>
      </c>
      <c r="H12" s="2">
        <v>-39000</v>
      </c>
    </row>
    <row r="13" spans="1:10" x14ac:dyDescent="0.25">
      <c r="A13" s="44">
        <v>44743</v>
      </c>
      <c r="B13" s="67">
        <v>780</v>
      </c>
      <c r="C13" s="67"/>
      <c r="D13" s="67"/>
      <c r="E13" s="67">
        <v>780</v>
      </c>
      <c r="F13" s="2">
        <v>190000</v>
      </c>
      <c r="G13" s="2">
        <v>142700</v>
      </c>
      <c r="H13" s="2">
        <v>47300</v>
      </c>
    </row>
    <row r="14" spans="1:10" x14ac:dyDescent="0.25">
      <c r="A14" s="44">
        <v>44774</v>
      </c>
      <c r="B14" s="67">
        <v>569</v>
      </c>
      <c r="C14" s="67"/>
      <c r="D14" s="67">
        <v>3226</v>
      </c>
      <c r="E14" s="67">
        <v>3795</v>
      </c>
      <c r="F14" s="2">
        <v>1594000</v>
      </c>
      <c r="G14" s="2">
        <v>1295200</v>
      </c>
      <c r="H14" s="2">
        <v>298800</v>
      </c>
    </row>
    <row r="15" spans="1:10" x14ac:dyDescent="0.25">
      <c r="A15" s="44">
        <v>44805</v>
      </c>
      <c r="B15" s="67">
        <v>1320</v>
      </c>
      <c r="C15" s="67">
        <v>450</v>
      </c>
      <c r="D15" s="67">
        <v>516</v>
      </c>
      <c r="E15" s="67">
        <v>2286</v>
      </c>
      <c r="F15" s="2">
        <v>297980</v>
      </c>
      <c r="G15" s="2">
        <v>444350</v>
      </c>
      <c r="H15" s="2">
        <v>-146370</v>
      </c>
    </row>
    <row r="16" spans="1:10" x14ac:dyDescent="0.25">
      <c r="A16" s="44">
        <v>44835</v>
      </c>
      <c r="B16" s="67">
        <v>1740</v>
      </c>
      <c r="C16" s="67">
        <v>400</v>
      </c>
      <c r="D16" s="67">
        <v>1634</v>
      </c>
      <c r="E16" s="67">
        <v>3774</v>
      </c>
      <c r="F16" s="2">
        <v>1176300</v>
      </c>
      <c r="G16" s="2">
        <v>1017500</v>
      </c>
      <c r="H16" s="2">
        <v>158800</v>
      </c>
    </row>
    <row r="17" spans="1:10" x14ac:dyDescent="0.25">
      <c r="A17" s="44">
        <v>44866</v>
      </c>
      <c r="B17" s="67"/>
      <c r="C17" s="67"/>
      <c r="D17" s="67">
        <v>430</v>
      </c>
      <c r="E17" s="67">
        <v>430</v>
      </c>
      <c r="F17" s="2">
        <v>425000</v>
      </c>
      <c r="G17" s="2">
        <v>172000</v>
      </c>
      <c r="H17" s="2">
        <v>253000</v>
      </c>
    </row>
    <row r="18" spans="1:10" x14ac:dyDescent="0.25">
      <c r="A18" s="44">
        <v>44896</v>
      </c>
      <c r="B18" s="67">
        <v>840</v>
      </c>
      <c r="C18" s="67"/>
      <c r="D18" s="67">
        <v>817</v>
      </c>
      <c r="E18" s="67">
        <v>1657</v>
      </c>
      <c r="F18" s="2">
        <v>580000</v>
      </c>
      <c r="G18" s="2">
        <v>511300</v>
      </c>
      <c r="H18" s="2">
        <v>68700</v>
      </c>
    </row>
    <row r="19" spans="1:10" x14ac:dyDescent="0.25">
      <c r="A19" s="43">
        <v>2023</v>
      </c>
      <c r="B19" s="67">
        <v>7143</v>
      </c>
      <c r="C19" s="67">
        <v>2701</v>
      </c>
      <c r="D19" s="67">
        <v>7469</v>
      </c>
      <c r="E19" s="67">
        <v>17313</v>
      </c>
      <c r="F19" s="2">
        <v>6556450</v>
      </c>
      <c r="G19" s="2">
        <v>5566750</v>
      </c>
      <c r="H19" s="2">
        <v>989700</v>
      </c>
      <c r="J19" s="41">
        <f>GETPIVOTDATA("Sum of Total Profit",$A$3,"ANUALLY",2023)/GETPIVOTDATA("Sum of Total Cost",$A$3,"ANUALLY",2023)</f>
        <v>0.17778775766829838</v>
      </c>
    </row>
    <row r="20" spans="1:10" x14ac:dyDescent="0.25">
      <c r="A20" s="44">
        <v>44927</v>
      </c>
      <c r="B20" s="67">
        <v>480</v>
      </c>
      <c r="C20" s="67"/>
      <c r="D20" s="67">
        <v>344</v>
      </c>
      <c r="E20" s="67">
        <v>824</v>
      </c>
      <c r="F20" s="2">
        <v>351320</v>
      </c>
      <c r="G20" s="2">
        <v>258900</v>
      </c>
      <c r="H20" s="2">
        <v>92420</v>
      </c>
    </row>
    <row r="21" spans="1:10" x14ac:dyDescent="0.25">
      <c r="A21" s="44">
        <v>44958</v>
      </c>
      <c r="B21" s="67"/>
      <c r="C21" s="67"/>
      <c r="D21" s="67"/>
      <c r="E21" s="67"/>
      <c r="F21" s="2"/>
      <c r="G21" s="2"/>
      <c r="H21" s="2"/>
    </row>
    <row r="22" spans="1:10" x14ac:dyDescent="0.25">
      <c r="A22" s="44">
        <v>44986</v>
      </c>
      <c r="B22" s="67">
        <v>420</v>
      </c>
      <c r="C22" s="67"/>
      <c r="D22" s="67">
        <v>1591</v>
      </c>
      <c r="E22" s="67">
        <v>2011</v>
      </c>
      <c r="F22" s="2">
        <v>644100</v>
      </c>
      <c r="G22" s="2">
        <v>568960</v>
      </c>
      <c r="H22" s="2">
        <v>75140</v>
      </c>
    </row>
    <row r="23" spans="1:10" x14ac:dyDescent="0.25">
      <c r="A23" s="44">
        <v>45017</v>
      </c>
      <c r="B23" s="67">
        <v>900</v>
      </c>
      <c r="C23" s="67">
        <v>2500</v>
      </c>
      <c r="D23" s="67">
        <v>215</v>
      </c>
      <c r="E23" s="67">
        <v>3615</v>
      </c>
      <c r="F23" s="2">
        <v>1015940</v>
      </c>
      <c r="G23" s="2">
        <v>877290</v>
      </c>
      <c r="H23" s="2">
        <v>138650</v>
      </c>
    </row>
    <row r="24" spans="1:10" x14ac:dyDescent="0.25">
      <c r="A24" s="44">
        <v>45047</v>
      </c>
      <c r="B24" s="67">
        <v>303</v>
      </c>
      <c r="C24" s="67">
        <v>201</v>
      </c>
      <c r="D24" s="67"/>
      <c r="E24" s="67">
        <v>504</v>
      </c>
      <c r="F24" s="2">
        <v>584200</v>
      </c>
      <c r="G24" s="2">
        <v>179420</v>
      </c>
      <c r="H24" s="2">
        <v>404780</v>
      </c>
    </row>
    <row r="25" spans="1:10" x14ac:dyDescent="0.25">
      <c r="A25" s="44">
        <v>45078</v>
      </c>
      <c r="B25" s="67"/>
      <c r="C25" s="67"/>
      <c r="D25" s="67">
        <v>760</v>
      </c>
      <c r="E25" s="67">
        <v>760</v>
      </c>
      <c r="F25" s="2">
        <v>343200</v>
      </c>
      <c r="G25" s="2">
        <v>442200</v>
      </c>
      <c r="H25" s="2">
        <v>-99000</v>
      </c>
    </row>
    <row r="26" spans="1:10" x14ac:dyDescent="0.25">
      <c r="A26" s="44">
        <v>45108</v>
      </c>
      <c r="B26" s="67"/>
      <c r="C26" s="67"/>
      <c r="D26" s="67">
        <v>903</v>
      </c>
      <c r="E26" s="67">
        <v>903</v>
      </c>
      <c r="F26" s="2">
        <v>181500</v>
      </c>
      <c r="G26" s="2">
        <v>360670</v>
      </c>
      <c r="H26" s="2">
        <v>-179170</v>
      </c>
    </row>
    <row r="27" spans="1:10" x14ac:dyDescent="0.25">
      <c r="A27" s="44">
        <v>45139</v>
      </c>
      <c r="B27" s="67">
        <v>480</v>
      </c>
      <c r="C27" s="67"/>
      <c r="D27" s="67">
        <v>560</v>
      </c>
      <c r="E27" s="67">
        <v>1040</v>
      </c>
      <c r="F27" s="2">
        <v>182200</v>
      </c>
      <c r="G27" s="2">
        <v>275580</v>
      </c>
      <c r="H27" s="2">
        <v>-93380</v>
      </c>
    </row>
    <row r="28" spans="1:10" x14ac:dyDescent="0.25">
      <c r="A28" s="44">
        <v>45170</v>
      </c>
      <c r="B28" s="67">
        <v>660</v>
      </c>
      <c r="C28" s="67"/>
      <c r="D28" s="67">
        <v>1419</v>
      </c>
      <c r="E28" s="67">
        <v>2079</v>
      </c>
      <c r="F28" s="2">
        <v>841200</v>
      </c>
      <c r="G28" s="2">
        <v>690830</v>
      </c>
      <c r="H28" s="2">
        <v>150370</v>
      </c>
    </row>
    <row r="29" spans="1:10" x14ac:dyDescent="0.25">
      <c r="A29" s="44">
        <v>45200</v>
      </c>
      <c r="B29" s="67">
        <v>1920</v>
      </c>
      <c r="C29" s="67"/>
      <c r="D29" s="67">
        <v>860</v>
      </c>
      <c r="E29" s="67">
        <v>2780</v>
      </c>
      <c r="F29" s="2">
        <v>1255440</v>
      </c>
      <c r="G29" s="2">
        <v>971030</v>
      </c>
      <c r="H29" s="2">
        <v>284410</v>
      </c>
    </row>
    <row r="30" spans="1:10" x14ac:dyDescent="0.25">
      <c r="A30" s="44">
        <v>45231</v>
      </c>
      <c r="B30" s="67">
        <v>1140</v>
      </c>
      <c r="C30" s="67"/>
      <c r="D30" s="67"/>
      <c r="E30" s="67">
        <v>1140</v>
      </c>
      <c r="F30" s="2">
        <v>446900</v>
      </c>
      <c r="G30" s="2">
        <v>295620</v>
      </c>
      <c r="H30" s="2">
        <v>151280</v>
      </c>
    </row>
    <row r="31" spans="1:10" x14ac:dyDescent="0.25">
      <c r="A31" s="44">
        <v>45261</v>
      </c>
      <c r="B31" s="67">
        <v>840</v>
      </c>
      <c r="C31" s="67"/>
      <c r="D31" s="67">
        <v>817</v>
      </c>
      <c r="E31" s="67">
        <v>1657</v>
      </c>
      <c r="F31" s="2">
        <v>710450</v>
      </c>
      <c r="G31" s="2">
        <v>646250</v>
      </c>
      <c r="H31" s="2">
        <v>64200</v>
      </c>
    </row>
    <row r="32" spans="1:10" x14ac:dyDescent="0.25">
      <c r="A32" s="43">
        <v>2024</v>
      </c>
      <c r="B32" s="67">
        <v>1560</v>
      </c>
      <c r="C32" s="67">
        <v>20</v>
      </c>
      <c r="D32" s="67">
        <v>430</v>
      </c>
      <c r="E32" s="67">
        <v>2010</v>
      </c>
      <c r="F32" s="2">
        <v>1790610</v>
      </c>
      <c r="G32" s="2">
        <v>1162000</v>
      </c>
      <c r="H32" s="2">
        <v>628610</v>
      </c>
      <c r="J32" s="41">
        <f>GETPIVOTDATA("Sum of Total Profit",$A$3,"ANUALLY",2024)/GETPIVOTDATA("Sum of Total Cost",$A$3,"ANUALLY",2024)</f>
        <v>0.54097246127366605</v>
      </c>
    </row>
    <row r="33" spans="1:10" x14ac:dyDescent="0.25">
      <c r="A33" s="44">
        <v>45292</v>
      </c>
      <c r="B33" s="67"/>
      <c r="C33" s="67"/>
      <c r="D33" s="67"/>
      <c r="E33" s="67"/>
      <c r="F33" s="2">
        <v>294000</v>
      </c>
      <c r="G33" s="2">
        <v>105400</v>
      </c>
      <c r="H33" s="2">
        <v>188600</v>
      </c>
    </row>
    <row r="34" spans="1:10" x14ac:dyDescent="0.25">
      <c r="A34" s="44">
        <v>45323</v>
      </c>
      <c r="B34" s="67">
        <v>1560</v>
      </c>
      <c r="C34" s="67">
        <v>20</v>
      </c>
      <c r="D34" s="67">
        <v>430</v>
      </c>
      <c r="E34" s="67">
        <v>2010</v>
      </c>
      <c r="F34" s="2">
        <v>1120000</v>
      </c>
      <c r="G34" s="2">
        <v>935200</v>
      </c>
      <c r="H34" s="2">
        <v>184800</v>
      </c>
    </row>
    <row r="35" spans="1:10" x14ac:dyDescent="0.25">
      <c r="A35" s="44">
        <v>45352</v>
      </c>
      <c r="B35" s="67"/>
      <c r="C35" s="67"/>
      <c r="D35" s="67"/>
      <c r="E35" s="67"/>
      <c r="F35" s="2">
        <v>236350</v>
      </c>
      <c r="G35" s="2">
        <v>109290</v>
      </c>
      <c r="H35" s="2">
        <v>127060</v>
      </c>
    </row>
    <row r="36" spans="1:10" x14ac:dyDescent="0.25">
      <c r="A36" s="44">
        <v>45383</v>
      </c>
      <c r="B36" s="67"/>
      <c r="C36" s="67"/>
      <c r="D36" s="67"/>
      <c r="E36" s="67"/>
      <c r="F36" s="2">
        <v>129060</v>
      </c>
      <c r="G36" s="2">
        <v>12110</v>
      </c>
      <c r="H36" s="2">
        <v>116950</v>
      </c>
    </row>
    <row r="37" spans="1:10" x14ac:dyDescent="0.25">
      <c r="A37" s="44">
        <v>45413</v>
      </c>
      <c r="B37" s="67"/>
      <c r="C37" s="67"/>
      <c r="D37" s="67"/>
      <c r="E37" s="67"/>
      <c r="F37" s="2"/>
      <c r="G37" s="2"/>
      <c r="H37" s="2"/>
    </row>
    <row r="38" spans="1:10" x14ac:dyDescent="0.25">
      <c r="A38" s="44">
        <v>45444</v>
      </c>
      <c r="B38" s="67"/>
      <c r="C38" s="67"/>
      <c r="D38" s="67"/>
      <c r="E38" s="67"/>
      <c r="F38" s="2">
        <v>11200</v>
      </c>
      <c r="G38" s="2"/>
      <c r="H38" s="2">
        <v>11200</v>
      </c>
    </row>
    <row r="39" spans="1:10" x14ac:dyDescent="0.25">
      <c r="A39" s="44">
        <v>45474</v>
      </c>
      <c r="B39" s="67"/>
      <c r="C39" s="67"/>
      <c r="D39" s="67"/>
      <c r="E39" s="67"/>
      <c r="F39" s="2"/>
      <c r="G39" s="2"/>
      <c r="H39" s="2"/>
    </row>
    <row r="40" spans="1:10" x14ac:dyDescent="0.25">
      <c r="A40" s="44">
        <v>45505</v>
      </c>
      <c r="B40" s="67"/>
      <c r="C40" s="67"/>
      <c r="D40" s="67"/>
      <c r="E40" s="67"/>
      <c r="F40" s="2"/>
      <c r="G40" s="2"/>
      <c r="H40" s="2"/>
    </row>
    <row r="41" spans="1:10" x14ac:dyDescent="0.25">
      <c r="A41" s="44">
        <v>45536</v>
      </c>
      <c r="B41" s="67"/>
      <c r="C41" s="67"/>
      <c r="D41" s="67"/>
      <c r="E41" s="67"/>
      <c r="F41" s="2"/>
      <c r="G41" s="2"/>
      <c r="H41" s="2"/>
    </row>
    <row r="42" spans="1:10" x14ac:dyDescent="0.25">
      <c r="A42" s="44">
        <v>45566</v>
      </c>
      <c r="B42" s="67"/>
      <c r="C42" s="67"/>
      <c r="D42" s="67"/>
      <c r="E42" s="67"/>
      <c r="F42" s="2"/>
      <c r="G42" s="2"/>
      <c r="H42" s="2"/>
    </row>
    <row r="43" spans="1:10" x14ac:dyDescent="0.25">
      <c r="A43" s="44">
        <v>45597</v>
      </c>
      <c r="B43" s="67"/>
      <c r="C43" s="67"/>
      <c r="D43" s="67"/>
      <c r="E43" s="67"/>
      <c r="F43" s="2"/>
      <c r="G43" s="2"/>
      <c r="H43" s="2"/>
    </row>
    <row r="44" spans="1:10" x14ac:dyDescent="0.25">
      <c r="A44" s="44">
        <v>45627</v>
      </c>
      <c r="B44" s="67"/>
      <c r="C44" s="67"/>
      <c r="D44" s="67"/>
      <c r="E44" s="67"/>
      <c r="F44" s="2"/>
      <c r="G44" s="2"/>
      <c r="H44" s="2"/>
    </row>
    <row r="45" spans="1:10" x14ac:dyDescent="0.25">
      <c r="A45" s="43">
        <v>2025</v>
      </c>
      <c r="B45" s="67">
        <v>4286</v>
      </c>
      <c r="C45" s="67"/>
      <c r="D45" s="67">
        <v>1855</v>
      </c>
      <c r="E45" s="67">
        <v>6141</v>
      </c>
      <c r="F45" s="2">
        <v>4218100</v>
      </c>
      <c r="G45" s="2">
        <v>3357300</v>
      </c>
      <c r="H45" s="2">
        <v>860800</v>
      </c>
      <c r="J45" s="41">
        <f>GETPIVOTDATA("Sum of Total Profit",$A$3,"ANUALLY",2025)/GETPIVOTDATA("Sum of Total Cost",$A$3,"ANUALLY",2025)</f>
        <v>0.25639650909957407</v>
      </c>
    </row>
    <row r="46" spans="1:10" x14ac:dyDescent="0.25">
      <c r="A46" s="44">
        <v>45658</v>
      </c>
      <c r="B46" s="67"/>
      <c r="C46" s="67"/>
      <c r="D46" s="67"/>
      <c r="E46" s="67"/>
      <c r="F46" s="2"/>
      <c r="G46" s="2"/>
      <c r="H46" s="2"/>
    </row>
    <row r="47" spans="1:10" x14ac:dyDescent="0.25">
      <c r="A47" s="44">
        <v>45689</v>
      </c>
      <c r="B47" s="67"/>
      <c r="C47" s="67"/>
      <c r="D47" s="67"/>
      <c r="E47" s="67"/>
      <c r="F47" s="2"/>
      <c r="G47" s="2"/>
      <c r="H47" s="2"/>
    </row>
    <row r="48" spans="1:10" x14ac:dyDescent="0.25">
      <c r="A48" s="44">
        <v>45717</v>
      </c>
      <c r="B48" s="67"/>
      <c r="C48" s="67"/>
      <c r="D48" s="67"/>
      <c r="E48" s="67"/>
      <c r="F48" s="2"/>
      <c r="G48" s="2"/>
      <c r="H48" s="2"/>
    </row>
    <row r="49" spans="1:10" x14ac:dyDescent="0.25">
      <c r="A49" s="44">
        <v>45748</v>
      </c>
      <c r="B49" s="67"/>
      <c r="C49" s="67"/>
      <c r="D49" s="67"/>
      <c r="E49" s="67"/>
      <c r="F49" s="2"/>
      <c r="G49" s="2"/>
      <c r="H49" s="2"/>
    </row>
    <row r="50" spans="1:10" x14ac:dyDescent="0.25">
      <c r="A50" s="44">
        <v>45778</v>
      </c>
      <c r="B50" s="67">
        <v>960</v>
      </c>
      <c r="C50" s="67"/>
      <c r="D50" s="67">
        <v>566</v>
      </c>
      <c r="E50" s="67">
        <v>1526</v>
      </c>
      <c r="F50" s="2"/>
      <c r="G50" s="2">
        <v>814450</v>
      </c>
      <c r="H50" s="2">
        <v>-814450</v>
      </c>
    </row>
    <row r="51" spans="1:10" x14ac:dyDescent="0.25">
      <c r="A51" s="44">
        <v>45809</v>
      </c>
      <c r="B51" s="67"/>
      <c r="C51" s="67"/>
      <c r="D51" s="67"/>
      <c r="E51" s="67"/>
      <c r="F51" s="2">
        <v>760000</v>
      </c>
      <c r="G51" s="2">
        <v>69375</v>
      </c>
      <c r="H51" s="2">
        <v>690625</v>
      </c>
    </row>
    <row r="52" spans="1:10" x14ac:dyDescent="0.25">
      <c r="A52" s="44">
        <v>45839</v>
      </c>
      <c r="B52" s="67">
        <v>1184</v>
      </c>
      <c r="C52" s="67"/>
      <c r="D52" s="67">
        <v>472</v>
      </c>
      <c r="E52" s="67">
        <v>1656</v>
      </c>
      <c r="F52" s="2">
        <v>762500</v>
      </c>
      <c r="G52" s="2">
        <v>741250</v>
      </c>
      <c r="H52" s="2">
        <v>21250</v>
      </c>
    </row>
    <row r="53" spans="1:10" x14ac:dyDescent="0.25">
      <c r="A53" s="44">
        <v>45870</v>
      </c>
      <c r="B53" s="67"/>
      <c r="C53" s="67"/>
      <c r="D53" s="67"/>
      <c r="E53" s="67"/>
      <c r="F53" s="2">
        <v>290300</v>
      </c>
      <c r="G53" s="2">
        <v>23550</v>
      </c>
      <c r="H53" s="2">
        <v>266750</v>
      </c>
    </row>
    <row r="54" spans="1:10" x14ac:dyDescent="0.25">
      <c r="A54" s="44">
        <v>45901</v>
      </c>
      <c r="B54" s="67"/>
      <c r="C54" s="67"/>
      <c r="D54" s="67"/>
      <c r="E54" s="67"/>
      <c r="F54" s="2">
        <v>436500</v>
      </c>
      <c r="G54" s="2">
        <v>141250</v>
      </c>
      <c r="H54" s="2">
        <v>295250</v>
      </c>
    </row>
    <row r="55" spans="1:10" x14ac:dyDescent="0.25">
      <c r="A55" s="44">
        <v>45931</v>
      </c>
      <c r="B55" s="67">
        <v>584</v>
      </c>
      <c r="C55" s="67"/>
      <c r="D55" s="67"/>
      <c r="E55" s="67">
        <v>584</v>
      </c>
      <c r="F55" s="2">
        <v>359700</v>
      </c>
      <c r="G55" s="2">
        <v>273450</v>
      </c>
      <c r="H55" s="2">
        <v>86250</v>
      </c>
    </row>
    <row r="56" spans="1:10" x14ac:dyDescent="0.25">
      <c r="A56" s="44">
        <v>45962</v>
      </c>
      <c r="B56" s="67">
        <v>1558</v>
      </c>
      <c r="C56" s="67"/>
      <c r="D56" s="67">
        <v>817</v>
      </c>
      <c r="E56" s="67">
        <v>2375</v>
      </c>
      <c r="F56" s="2">
        <v>885500</v>
      </c>
      <c r="G56" s="2">
        <v>1235025</v>
      </c>
      <c r="H56" s="2">
        <v>-349525</v>
      </c>
    </row>
    <row r="57" spans="1:10" x14ac:dyDescent="0.25">
      <c r="A57" s="44">
        <v>45992</v>
      </c>
      <c r="B57" s="67"/>
      <c r="C57" s="67"/>
      <c r="D57" s="67"/>
      <c r="E57" s="67"/>
      <c r="F57" s="2">
        <v>723600</v>
      </c>
      <c r="G57" s="2">
        <v>58950</v>
      </c>
      <c r="H57" s="2">
        <v>664650</v>
      </c>
    </row>
    <row r="58" spans="1:10" x14ac:dyDescent="0.25">
      <c r="A58" s="43" t="s">
        <v>115</v>
      </c>
      <c r="B58" s="67">
        <v>20598</v>
      </c>
      <c r="C58" s="67">
        <v>6663</v>
      </c>
      <c r="D58" s="67">
        <v>18618</v>
      </c>
      <c r="E58" s="67">
        <v>45879</v>
      </c>
      <c r="F58" s="2">
        <v>18633540</v>
      </c>
      <c r="G58" s="2">
        <v>15454975</v>
      </c>
      <c r="H58" s="2">
        <v>3178565</v>
      </c>
      <c r="J58" s="41">
        <f>GETPIVOTDATA("Sum of Total Profit",$A$3)/GETPIVOTDATA("Sum of Total Cost",$A$3)</f>
        <v>0.2056661366323789</v>
      </c>
    </row>
    <row r="60" spans="1:10" x14ac:dyDescent="0.25">
      <c r="A60" s="1">
        <v>1</v>
      </c>
      <c r="B60" s="82" t="s">
        <v>221</v>
      </c>
      <c r="H60" s="41"/>
    </row>
    <row r="61" spans="1:10" x14ac:dyDescent="0.25">
      <c r="A61" s="1">
        <v>2</v>
      </c>
      <c r="B61" s="83" t="s">
        <v>253</v>
      </c>
    </row>
    <row r="62" spans="1:10" x14ac:dyDescent="0.25">
      <c r="A62" s="1">
        <v>3</v>
      </c>
      <c r="B62" s="83" t="s">
        <v>252</v>
      </c>
      <c r="E62" s="146"/>
    </row>
    <row r="64" spans="1:10" ht="15.75" x14ac:dyDescent="0.25">
      <c r="B64" s="159" t="s">
        <v>220</v>
      </c>
      <c r="C64" s="160" t="s">
        <v>226</v>
      </c>
      <c r="D64" s="160" t="s">
        <v>227</v>
      </c>
      <c r="E64" s="160" t="s">
        <v>228</v>
      </c>
      <c r="F64" s="159" t="s">
        <v>229</v>
      </c>
      <c r="G64" s="161" t="s">
        <v>251</v>
      </c>
    </row>
    <row r="65" spans="2:7" ht="15.75" x14ac:dyDescent="0.25">
      <c r="B65" s="146" t="s">
        <v>235</v>
      </c>
      <c r="C65" s="145">
        <f>18485/60</f>
        <v>308.08333333333331</v>
      </c>
      <c r="D65" s="147">
        <f>6620/50</f>
        <v>132.4</v>
      </c>
      <c r="E65" s="147">
        <f>18125/43</f>
        <v>421.51162790697674</v>
      </c>
      <c r="F65" s="148">
        <f t="shared" ref="F65:F75" si="0">SUM(C65:E65)</f>
        <v>861.99496124031009</v>
      </c>
      <c r="G65" s="163" t="s">
        <v>241</v>
      </c>
    </row>
    <row r="66" spans="2:7" ht="15.75" x14ac:dyDescent="0.25">
      <c r="B66" s="146" t="s">
        <v>239</v>
      </c>
      <c r="C66" s="149">
        <f>C65/F65</f>
        <v>0.35740734828662729</v>
      </c>
      <c r="D66" s="149">
        <f>D65/F65</f>
        <v>0.15359718554443968</v>
      </c>
      <c r="E66" s="149">
        <f>E65/F65</f>
        <v>0.48899546616893297</v>
      </c>
      <c r="F66" s="146">
        <f t="shared" si="0"/>
        <v>0.99999999999999989</v>
      </c>
      <c r="G66" s="162" t="s">
        <v>244</v>
      </c>
    </row>
    <row r="67" spans="2:7" ht="15.75" x14ac:dyDescent="0.25">
      <c r="B67" s="146" t="s">
        <v>230</v>
      </c>
      <c r="C67" s="150">
        <f>C66*GETPIVOTDATA("Sum of Total Profit",$A$3)</f>
        <v>1136042.4880066835</v>
      </c>
      <c r="D67" s="70">
        <f>D66*GETPIVOTDATA("Sum of Total Profit",$A$3)</f>
        <v>488218.63807006192</v>
      </c>
      <c r="E67" s="70">
        <f>E66*GETPIVOTDATA("Sum of Total Profit",$A$3)</f>
        <v>1554303.8739232544</v>
      </c>
      <c r="F67" s="151">
        <f t="shared" si="0"/>
        <v>3178565</v>
      </c>
      <c r="G67" s="162" t="s">
        <v>242</v>
      </c>
    </row>
    <row r="68" spans="2:7" ht="15.75" x14ac:dyDescent="0.25">
      <c r="B68" s="146" t="s">
        <v>240</v>
      </c>
      <c r="C68" s="152">
        <f>C67/C65</f>
        <v>3687.4519491696519</v>
      </c>
      <c r="D68" s="153">
        <f>D67/D65</f>
        <v>3687.4519491696519</v>
      </c>
      <c r="E68" s="153">
        <f>E67/E65</f>
        <v>3687.4519491696519</v>
      </c>
      <c r="F68" s="151">
        <f t="shared" si="0"/>
        <v>11062.355847508956</v>
      </c>
      <c r="G68" s="162" t="s">
        <v>243</v>
      </c>
    </row>
    <row r="69" spans="2:7" ht="15.75" x14ac:dyDescent="0.25">
      <c r="B69" s="146" t="s">
        <v>233</v>
      </c>
      <c r="C69" s="154">
        <v>60</v>
      </c>
      <c r="D69" s="155">
        <v>50</v>
      </c>
      <c r="E69" s="155">
        <v>43</v>
      </c>
      <c r="F69" s="148">
        <f t="shared" si="0"/>
        <v>153</v>
      </c>
      <c r="G69" s="162" t="s">
        <v>233</v>
      </c>
    </row>
    <row r="70" spans="2:7" ht="15.75" x14ac:dyDescent="0.25">
      <c r="B70" s="146" t="s">
        <v>231</v>
      </c>
      <c r="C70" s="149">
        <f>C69/F69</f>
        <v>0.39215686274509803</v>
      </c>
      <c r="D70" s="149">
        <f>D69/F69</f>
        <v>0.32679738562091504</v>
      </c>
      <c r="E70" s="149">
        <f>E69/F69</f>
        <v>0.28104575163398693</v>
      </c>
      <c r="F70" s="146">
        <f t="shared" si="0"/>
        <v>1</v>
      </c>
      <c r="G70" s="162" t="s">
        <v>245</v>
      </c>
    </row>
    <row r="71" spans="2:7" ht="15.75" x14ac:dyDescent="0.25">
      <c r="B71" s="156" t="s">
        <v>232</v>
      </c>
      <c r="C71" s="151">
        <f>C70*F68</f>
        <v>4338.1787637290026</v>
      </c>
      <c r="D71" s="139">
        <f>D70*F68</f>
        <v>3615.1489697741686</v>
      </c>
      <c r="E71" s="139">
        <f>E70*F68</f>
        <v>3109.028114005785</v>
      </c>
      <c r="F71" s="151">
        <f t="shared" si="0"/>
        <v>11062.355847508956</v>
      </c>
      <c r="G71" s="162" t="s">
        <v>246</v>
      </c>
    </row>
    <row r="72" spans="2:7" ht="15.75" x14ac:dyDescent="0.25">
      <c r="B72" s="157" t="s">
        <v>234</v>
      </c>
      <c r="C72" s="152">
        <f>C71*C65</f>
        <v>1336520.5741255102</v>
      </c>
      <c r="D72" s="153">
        <f>D71*D65</f>
        <v>478645.72359809995</v>
      </c>
      <c r="E72" s="153">
        <f>E71*E65</f>
        <v>1310491.5015431361</v>
      </c>
      <c r="F72" s="151">
        <f t="shared" si="0"/>
        <v>3125657.7992667463</v>
      </c>
      <c r="G72" s="164" t="s">
        <v>247</v>
      </c>
    </row>
    <row r="73" spans="2:7" ht="15.75" x14ac:dyDescent="0.25">
      <c r="B73" s="146" t="s">
        <v>236</v>
      </c>
      <c r="C73" s="150">
        <f>C67-C72</f>
        <v>-200478.08611882664</v>
      </c>
      <c r="D73" s="70">
        <f>D67-D72</f>
        <v>9572.9144719619653</v>
      </c>
      <c r="E73" s="70">
        <f>E67-E72</f>
        <v>243812.37238011835</v>
      </c>
      <c r="F73" s="151">
        <f t="shared" si="0"/>
        <v>52907.200733253674</v>
      </c>
      <c r="G73" s="164" t="s">
        <v>248</v>
      </c>
    </row>
    <row r="74" spans="2:7" ht="15.75" x14ac:dyDescent="0.25">
      <c r="B74" s="146" t="s">
        <v>238</v>
      </c>
      <c r="C74" s="150">
        <f>C70*F73</f>
        <v>20747.921856177913</v>
      </c>
      <c r="D74" s="70">
        <f>D70*F73</f>
        <v>17289.934880148259</v>
      </c>
      <c r="E74" s="70">
        <f>E70*F73</f>
        <v>14869.343996927504</v>
      </c>
      <c r="F74" s="151">
        <f t="shared" si="0"/>
        <v>52907.200733253674</v>
      </c>
      <c r="G74" s="162" t="s">
        <v>249</v>
      </c>
    </row>
    <row r="75" spans="2:7" ht="15.75" x14ac:dyDescent="0.25">
      <c r="B75" s="158" t="s">
        <v>237</v>
      </c>
      <c r="C75" s="151">
        <f>C74+C72</f>
        <v>1357268.4959816881</v>
      </c>
      <c r="D75" s="139">
        <f>D74+D72</f>
        <v>495935.65847824822</v>
      </c>
      <c r="E75" s="139">
        <f>E74+E72</f>
        <v>1325360.8455400637</v>
      </c>
      <c r="F75" s="151">
        <f t="shared" si="0"/>
        <v>3178565</v>
      </c>
      <c r="G75" s="164" t="s">
        <v>250</v>
      </c>
    </row>
    <row r="88" spans="4:6" x14ac:dyDescent="0.25">
      <c r="D88" s="2"/>
      <c r="E88"/>
      <c r="F88"/>
    </row>
  </sheetData>
  <pageMargins left="0.7" right="0.7" top="0.75" bottom="0.75" header="0.3" footer="0.3"/>
  <pageSetup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workbookViewId="0">
      <selection activeCell="D20" sqref="D20"/>
    </sheetView>
  </sheetViews>
  <sheetFormatPr defaultRowHeight="15.75" x14ac:dyDescent="0.25"/>
  <cols>
    <col min="1" max="1" width="23.5703125" style="9" customWidth="1"/>
    <col min="2" max="2" width="11.5703125" style="2" bestFit="1" customWidth="1"/>
    <col min="3" max="3" width="12" style="117" customWidth="1"/>
    <col min="4" max="4" width="15.140625" style="2" customWidth="1"/>
    <col min="5" max="5" width="27.85546875" style="41" customWidth="1"/>
    <col min="6" max="6" width="23.140625" style="115" customWidth="1"/>
    <col min="7" max="7" width="22" customWidth="1"/>
    <col min="8" max="8" width="22.140625" customWidth="1"/>
    <col min="9" max="9" width="11.85546875" style="41" customWidth="1"/>
    <col min="10" max="10" width="52.140625" style="2" customWidth="1"/>
    <col min="11" max="11" width="13" style="135" customWidth="1"/>
    <col min="12" max="12" width="10.5703125" bestFit="1" customWidth="1"/>
    <col min="13" max="13" width="13.28515625" bestFit="1" customWidth="1"/>
  </cols>
  <sheetData>
    <row r="1" spans="1:13" s="1" customFormat="1" x14ac:dyDescent="0.25">
      <c r="A1" s="184" t="s">
        <v>179</v>
      </c>
      <c r="B1" s="185" t="s">
        <v>180</v>
      </c>
      <c r="C1" s="116"/>
      <c r="D1" s="83"/>
      <c r="E1" s="82"/>
      <c r="F1" s="122"/>
      <c r="I1" s="82"/>
      <c r="J1" s="83"/>
      <c r="K1" s="134"/>
    </row>
    <row r="2" spans="1:13" x14ac:dyDescent="0.25">
      <c r="A2" s="10" t="s">
        <v>213</v>
      </c>
      <c r="B2" s="145">
        <f>SUM(PRODUCTION_DATA!B2:B50)</f>
        <v>20598</v>
      </c>
      <c r="F2" s="123"/>
    </row>
    <row r="3" spans="1:13" x14ac:dyDescent="0.25">
      <c r="A3" s="8" t="s">
        <v>214</v>
      </c>
      <c r="B3" s="145">
        <f>SUM(PRODUCTION_DATA!C2:C50)</f>
        <v>6663</v>
      </c>
      <c r="C3" s="121"/>
    </row>
    <row r="4" spans="1:13" x14ac:dyDescent="0.25">
      <c r="A4" s="8" t="s">
        <v>215</v>
      </c>
      <c r="B4" s="145">
        <f>SUM(PRODUCTION_DATA!D2:D50)</f>
        <v>18618</v>
      </c>
      <c r="C4" s="116"/>
    </row>
    <row r="5" spans="1:13" x14ac:dyDescent="0.25">
      <c r="A5" s="8" t="s">
        <v>23</v>
      </c>
      <c r="B5" s="145">
        <f>SUM(PRODUCTION_DATA!E2:E50)</f>
        <v>45879</v>
      </c>
      <c r="D5" s="83"/>
    </row>
    <row r="6" spans="1:13" x14ac:dyDescent="0.25">
      <c r="A6" s="10" t="s">
        <v>216</v>
      </c>
      <c r="B6" s="186">
        <v>18485</v>
      </c>
      <c r="C6" s="118"/>
      <c r="L6" s="114"/>
      <c r="M6" s="2"/>
    </row>
    <row r="7" spans="1:13" x14ac:dyDescent="0.25">
      <c r="A7" s="10" t="s">
        <v>217</v>
      </c>
      <c r="B7" s="145">
        <v>6620</v>
      </c>
      <c r="C7" s="118"/>
      <c r="L7" s="114"/>
      <c r="M7" s="2"/>
    </row>
    <row r="8" spans="1:13" x14ac:dyDescent="0.25">
      <c r="A8" s="10" t="s">
        <v>218</v>
      </c>
      <c r="B8" s="145">
        <v>18125</v>
      </c>
      <c r="C8" s="118"/>
      <c r="L8" s="114"/>
      <c r="M8" s="2"/>
    </row>
    <row r="9" spans="1:13" x14ac:dyDescent="0.25">
      <c r="A9" s="8" t="s">
        <v>24</v>
      </c>
      <c r="B9" s="145">
        <f>SUM(PRODUCTION_DATA!F2:F50)</f>
        <v>43230</v>
      </c>
      <c r="C9" s="124"/>
      <c r="D9" s="83"/>
      <c r="E9" s="83"/>
      <c r="F9" s="125"/>
      <c r="G9" s="83"/>
      <c r="H9" s="83"/>
      <c r="I9" s="83"/>
      <c r="J9" s="83"/>
      <c r="K9" s="136"/>
      <c r="L9" s="83"/>
      <c r="M9" s="83"/>
    </row>
    <row r="10" spans="1:13" x14ac:dyDescent="0.25">
      <c r="A10" s="8" t="s">
        <v>25</v>
      </c>
      <c r="B10" s="145">
        <f>SUM(PRODUCTION_DATA!G2:G50)</f>
        <v>1043</v>
      </c>
    </row>
    <row r="11" spans="1:13" x14ac:dyDescent="0.25">
      <c r="A11" s="8" t="s">
        <v>26</v>
      </c>
      <c r="B11" s="187">
        <f>SUM(PRODUCTION_DATA!H2:H50)</f>
        <v>925</v>
      </c>
    </row>
    <row r="12" spans="1:13" x14ac:dyDescent="0.25">
      <c r="A12" s="8" t="s">
        <v>12</v>
      </c>
      <c r="B12" s="187">
        <f>SUM(PRODUCTION_DATA!I2:I50)</f>
        <v>916</v>
      </c>
    </row>
    <row r="13" spans="1:13" x14ac:dyDescent="0.25">
      <c r="A13" s="8" t="s">
        <v>14</v>
      </c>
      <c r="B13" s="187">
        <f>SUM(PRODUCTION_DATA!J2:J50)</f>
        <v>690</v>
      </c>
    </row>
    <row r="14" spans="1:13" x14ac:dyDescent="0.25">
      <c r="A14" s="11" t="s">
        <v>6</v>
      </c>
      <c r="B14" s="70">
        <f>SUM(PRODUCTION_DATA!R2:R50)</f>
        <v>15454975</v>
      </c>
      <c r="I14" s="120"/>
      <c r="J14" s="14"/>
      <c r="L14" s="12"/>
    </row>
    <row r="15" spans="1:13" x14ac:dyDescent="0.25">
      <c r="A15" s="11" t="s">
        <v>209</v>
      </c>
      <c r="B15" s="70">
        <f>SUM(SALES__DATA!F2:F199)</f>
        <v>18819310</v>
      </c>
      <c r="C15" s="71"/>
      <c r="D15" s="137"/>
      <c r="E15" s="135"/>
      <c r="F15" s="12"/>
      <c r="I15"/>
      <c r="J15"/>
      <c r="K15"/>
    </row>
    <row r="16" spans="1:13" x14ac:dyDescent="0.25">
      <c r="A16" s="11" t="s">
        <v>8</v>
      </c>
      <c r="B16" s="70">
        <f>SUM(PRODUCTION_DATA!Q2:Q50)</f>
        <v>18633540</v>
      </c>
      <c r="D16" s="137"/>
      <c r="E16" s="130"/>
      <c r="F16" s="128"/>
      <c r="I16"/>
      <c r="J16"/>
      <c r="K16"/>
    </row>
    <row r="17" spans="1:12" x14ac:dyDescent="0.25">
      <c r="A17" s="11" t="s">
        <v>9</v>
      </c>
      <c r="B17" s="70">
        <f>SUM(PRODUCTION_DATA!S2:S50)</f>
        <v>3178565</v>
      </c>
      <c r="C17" s="71"/>
      <c r="D17" s="137"/>
      <c r="E17" s="131"/>
      <c r="F17" s="49"/>
      <c r="I17"/>
      <c r="J17"/>
      <c r="K17"/>
    </row>
    <row r="18" spans="1:12" x14ac:dyDescent="0.25">
      <c r="A18" s="11" t="s">
        <v>7</v>
      </c>
      <c r="B18" s="70">
        <f>SUM(PRODUCTION_DATA!T2:T50)</f>
        <v>185770</v>
      </c>
      <c r="D18" s="137"/>
      <c r="E18" s="131"/>
      <c r="F18" s="49"/>
      <c r="I18"/>
      <c r="J18"/>
      <c r="K18"/>
    </row>
    <row r="19" spans="1:12" s="31" customFormat="1" x14ac:dyDescent="0.25">
      <c r="A19" s="39" t="s">
        <v>176</v>
      </c>
      <c r="B19" s="188"/>
      <c r="C19" s="119"/>
      <c r="D19" s="133"/>
      <c r="E19" s="131"/>
      <c r="F19" s="49"/>
    </row>
    <row r="20" spans="1:12" x14ac:dyDescent="0.25">
      <c r="A20" s="11" t="s">
        <v>4</v>
      </c>
      <c r="B20" s="70">
        <f>SUM(PRODUCTION_DATA!K2:K50)</f>
        <v>5505000</v>
      </c>
      <c r="D20" s="137"/>
      <c r="E20" s="131"/>
      <c r="F20" s="49"/>
      <c r="I20"/>
      <c r="J20"/>
      <c r="K20"/>
    </row>
    <row r="21" spans="1:12" x14ac:dyDescent="0.25">
      <c r="A21" s="11" t="s">
        <v>3</v>
      </c>
      <c r="B21" s="70">
        <f>SUM(PRODUCTION_DATA!L2:L50)</f>
        <v>5157800</v>
      </c>
      <c r="D21" s="137"/>
      <c r="E21" s="132"/>
      <c r="F21" s="142"/>
      <c r="I21"/>
      <c r="J21"/>
      <c r="K21"/>
    </row>
    <row r="22" spans="1:12" x14ac:dyDescent="0.25">
      <c r="A22" s="11" t="s">
        <v>15</v>
      </c>
      <c r="B22" s="70">
        <f>SUM(PRODUCTION_DATA!N2:N50)</f>
        <v>238455</v>
      </c>
      <c r="D22" s="137"/>
      <c r="E22" s="131"/>
      <c r="F22" s="49"/>
      <c r="I22"/>
      <c r="J22"/>
      <c r="K22"/>
    </row>
    <row r="23" spans="1:12" s="31" customFormat="1" x14ac:dyDescent="0.25">
      <c r="A23" s="38" t="s">
        <v>177</v>
      </c>
      <c r="B23" s="189"/>
      <c r="C23" s="119"/>
      <c r="D23" s="133"/>
      <c r="E23" s="131"/>
      <c r="F23" s="49"/>
    </row>
    <row r="24" spans="1:12" x14ac:dyDescent="0.25">
      <c r="A24" s="11" t="s">
        <v>13</v>
      </c>
      <c r="B24" s="70">
        <f>SUM(PRODUCTION_DATA!M2:M50)</f>
        <v>1655700</v>
      </c>
      <c r="D24" s="137"/>
      <c r="E24" s="131"/>
      <c r="F24" s="49"/>
      <c r="I24"/>
      <c r="J24"/>
      <c r="K24"/>
    </row>
    <row r="25" spans="1:12" x14ac:dyDescent="0.25">
      <c r="A25" s="11" t="s">
        <v>5</v>
      </c>
      <c r="B25" s="70">
        <f>SUM(PRODUCTION_DATA!O2:O50)</f>
        <v>534800</v>
      </c>
      <c r="D25" s="137"/>
      <c r="E25" s="132"/>
      <c r="F25" s="142"/>
      <c r="I25"/>
      <c r="J25"/>
      <c r="K25"/>
    </row>
    <row r="26" spans="1:12" s="127" customFormat="1" x14ac:dyDescent="0.25">
      <c r="A26" s="11" t="s">
        <v>16</v>
      </c>
      <c r="B26" s="139">
        <f>SUM(PRODUCTION_DATA!P2:P50)</f>
        <v>2364340</v>
      </c>
      <c r="D26" s="129"/>
      <c r="E26" s="141"/>
      <c r="F26" s="140"/>
    </row>
    <row r="27" spans="1:12" s="31" customFormat="1" x14ac:dyDescent="0.25">
      <c r="A27" s="35" t="s">
        <v>178</v>
      </c>
      <c r="B27" s="189"/>
      <c r="C27" s="119"/>
      <c r="D27" s="144"/>
      <c r="E27" s="142"/>
      <c r="F27" s="143"/>
      <c r="G27" s="133"/>
      <c r="H27" s="133"/>
      <c r="I27" s="142"/>
      <c r="J27" s="144"/>
      <c r="K27" s="133"/>
      <c r="L27" s="133"/>
    </row>
    <row r="28" spans="1:12" x14ac:dyDescent="0.25">
      <c r="A28" s="190" t="s">
        <v>174</v>
      </c>
      <c r="B28" s="191">
        <f xml:space="preserve"> B9/B5</f>
        <v>0.94226116523899828</v>
      </c>
      <c r="K28" s="128"/>
      <c r="L28" s="128"/>
    </row>
    <row r="29" spans="1:12" x14ac:dyDescent="0.25">
      <c r="A29" s="190" t="s">
        <v>173</v>
      </c>
      <c r="B29" s="149">
        <f xml:space="preserve"> B17/B16</f>
        <v>0.17058299174499317</v>
      </c>
    </row>
    <row r="30" spans="1:12" x14ac:dyDescent="0.25">
      <c r="A30" s="190" t="s">
        <v>175</v>
      </c>
      <c r="B30" s="149">
        <f xml:space="preserve"> B18/B15</f>
        <v>9.8712439510268979E-3</v>
      </c>
    </row>
  </sheetData>
  <pageMargins left="0.75" right="0.75" top="1" bottom="1" header="0.5" footer="0.5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workbookViewId="0">
      <selection activeCell="E10" sqref="E10"/>
    </sheetView>
  </sheetViews>
  <sheetFormatPr defaultRowHeight="15.75" x14ac:dyDescent="0.25"/>
  <cols>
    <col min="1" max="1" width="30.42578125" style="9" customWidth="1"/>
    <col min="2" max="2" width="11.5703125" style="2" bestFit="1" customWidth="1"/>
    <col min="4" max="4" width="10.5703125" bestFit="1" customWidth="1"/>
  </cols>
  <sheetData>
    <row r="1" spans="1:2" s="1" customFormat="1" x14ac:dyDescent="0.25">
      <c r="A1" s="30" t="s">
        <v>179</v>
      </c>
      <c r="B1" s="79" t="s">
        <v>180</v>
      </c>
    </row>
    <row r="2" spans="1:2" s="31" customFormat="1" x14ac:dyDescent="0.25">
      <c r="A2" s="78" t="s">
        <v>184</v>
      </c>
      <c r="B2" s="77"/>
    </row>
    <row r="3" spans="1:2" x14ac:dyDescent="0.25">
      <c r="A3" s="10" t="s">
        <v>213</v>
      </c>
      <c r="B3" s="80">
        <f>SUM(PRODUCTION_DATA!B2:B50)</f>
        <v>20598</v>
      </c>
    </row>
    <row r="4" spans="1:2" x14ac:dyDescent="0.25">
      <c r="A4" s="8" t="s">
        <v>214</v>
      </c>
      <c r="B4" s="26">
        <f>SUM(PRODUCTION_DATA!C2:C50)</f>
        <v>6663</v>
      </c>
    </row>
    <row r="5" spans="1:2" x14ac:dyDescent="0.25">
      <c r="A5" s="8" t="s">
        <v>215</v>
      </c>
      <c r="B5" s="26">
        <f>SUM(PRODUCTION_DATA!D2:D50)</f>
        <v>18618</v>
      </c>
    </row>
    <row r="6" spans="1:2" x14ac:dyDescent="0.25">
      <c r="A6" s="8" t="s">
        <v>23</v>
      </c>
      <c r="B6" s="26">
        <f>SUM(PRODUCTION_DATA!E2:E50)</f>
        <v>45879</v>
      </c>
    </row>
    <row r="7" spans="1:2" x14ac:dyDescent="0.25">
      <c r="A7" s="8" t="s">
        <v>25</v>
      </c>
      <c r="B7" s="26">
        <f>SUM(PRODUCTION_DATA!G2:G50)</f>
        <v>1043</v>
      </c>
    </row>
    <row r="8" spans="1:2" x14ac:dyDescent="0.25">
      <c r="A8" s="8" t="s">
        <v>26</v>
      </c>
      <c r="B8" s="6">
        <f>SUM(PRODUCTION_DATA!H2:H50)</f>
        <v>925</v>
      </c>
    </row>
    <row r="9" spans="1:2" x14ac:dyDescent="0.25">
      <c r="A9" s="8" t="s">
        <v>12</v>
      </c>
      <c r="B9" s="6">
        <f>SUM(PRODUCTION_DATA!I2:I50)</f>
        <v>916</v>
      </c>
    </row>
    <row r="10" spans="1:2" x14ac:dyDescent="0.25">
      <c r="A10" s="8" t="s">
        <v>14</v>
      </c>
      <c r="B10" s="6">
        <f>SUM(PRODUCTION_DATA!J2:J50)</f>
        <v>690</v>
      </c>
    </row>
    <row r="11" spans="1:2" x14ac:dyDescent="0.25">
      <c r="A11" s="36" t="s">
        <v>174</v>
      </c>
      <c r="B11" s="37">
        <f xml:space="preserve"> B30/B6</f>
        <v>0.94226116523899828</v>
      </c>
    </row>
    <row r="12" spans="1:2" x14ac:dyDescent="0.25">
      <c r="A12" s="36" t="s">
        <v>187</v>
      </c>
      <c r="B12" s="72">
        <f>B19/B6</f>
        <v>336.86381568909525</v>
      </c>
    </row>
    <row r="13" spans="1:2" x14ac:dyDescent="0.25">
      <c r="A13" s="36" t="s">
        <v>269</v>
      </c>
      <c r="B13" s="37">
        <v>3.7999999999999999E-2</v>
      </c>
    </row>
    <row r="14" spans="1:2" x14ac:dyDescent="0.25">
      <c r="A14" s="76" t="s">
        <v>181</v>
      </c>
      <c r="B14" s="77"/>
    </row>
    <row r="15" spans="1:2" x14ac:dyDescent="0.25">
      <c r="A15" s="11" t="s">
        <v>4</v>
      </c>
      <c r="B15" s="75">
        <f>SUM(PRODUCTION_DATA!K2:K50)</f>
        <v>5505000</v>
      </c>
    </row>
    <row r="16" spans="1:2" x14ac:dyDescent="0.25">
      <c r="A16" s="11" t="s">
        <v>3</v>
      </c>
      <c r="B16" s="4">
        <f>SUM(PRODUCTION_DATA!L2:L50)</f>
        <v>5157800</v>
      </c>
    </row>
    <row r="17" spans="1:13" x14ac:dyDescent="0.25">
      <c r="A17" s="11" t="s">
        <v>15</v>
      </c>
      <c r="B17" s="4">
        <f>SUM(PRODUCTION_DATA!N2:N50)</f>
        <v>238455</v>
      </c>
      <c r="J17" s="12"/>
      <c r="K17" s="13"/>
      <c r="L17" s="14"/>
      <c r="M17" s="12"/>
    </row>
    <row r="18" spans="1:13" x14ac:dyDescent="0.25">
      <c r="A18" s="11" t="s">
        <v>13</v>
      </c>
      <c r="B18" s="4">
        <f>SUM(PRODUCTION_DATA!M2:M50)</f>
        <v>1655700</v>
      </c>
    </row>
    <row r="19" spans="1:13" x14ac:dyDescent="0.25">
      <c r="A19" s="11" t="s">
        <v>6</v>
      </c>
      <c r="B19" s="4">
        <f>SUM(PRODUCTION_DATA!R2:R50)</f>
        <v>15454975</v>
      </c>
      <c r="J19" s="12"/>
      <c r="K19" s="12"/>
      <c r="L19" s="12"/>
      <c r="M19" s="12"/>
    </row>
    <row r="20" spans="1:13" x14ac:dyDescent="0.25">
      <c r="A20" s="11" t="s">
        <v>209</v>
      </c>
      <c r="B20" s="4">
        <f>SUM(SALES__DATA!F2:F199)</f>
        <v>18819310</v>
      </c>
      <c r="J20" s="12"/>
      <c r="K20" s="12"/>
      <c r="L20" s="12"/>
      <c r="M20" s="12"/>
    </row>
    <row r="21" spans="1:13" x14ac:dyDescent="0.25">
      <c r="A21" s="11" t="s">
        <v>8</v>
      </c>
      <c r="B21" s="4">
        <f>SUM(PRODUCTION_DATA!Q2:Q50)</f>
        <v>18633540</v>
      </c>
      <c r="D21" s="2"/>
      <c r="J21" s="12"/>
      <c r="K21" s="13"/>
      <c r="L21" s="15"/>
      <c r="M21" s="12"/>
    </row>
    <row r="22" spans="1:13" x14ac:dyDescent="0.25">
      <c r="A22" s="11" t="s">
        <v>9</v>
      </c>
      <c r="B22" s="4">
        <f>SUM(PRODUCTION_DATA!S2:S50)</f>
        <v>3178565</v>
      </c>
      <c r="D22" s="2"/>
    </row>
    <row r="23" spans="1:13" x14ac:dyDescent="0.25">
      <c r="A23" s="11" t="s">
        <v>7</v>
      </c>
      <c r="B23" s="4">
        <f>SUM(PRODUCTION_DATA!T2:T50)</f>
        <v>185770</v>
      </c>
      <c r="D23" s="2"/>
    </row>
    <row r="24" spans="1:13" x14ac:dyDescent="0.25">
      <c r="A24" s="40" t="s">
        <v>182</v>
      </c>
      <c r="B24" s="68">
        <f xml:space="preserve"> B22/B21</f>
        <v>0.17058299174499317</v>
      </c>
    </row>
    <row r="25" spans="1:13" x14ac:dyDescent="0.25">
      <c r="A25" s="36" t="s">
        <v>183</v>
      </c>
      <c r="B25" s="68">
        <f xml:space="preserve"> B23/B20</f>
        <v>9.8712439510268979E-3</v>
      </c>
    </row>
    <row r="26" spans="1:13" s="31" customFormat="1" x14ac:dyDescent="0.25">
      <c r="A26" s="35" t="s">
        <v>185</v>
      </c>
      <c r="B26" s="73"/>
      <c r="J26" s="32"/>
      <c r="K26" s="33"/>
      <c r="L26" s="34"/>
      <c r="M26" s="32"/>
    </row>
    <row r="27" spans="1:13" s="31" customFormat="1" x14ac:dyDescent="0.25">
      <c r="A27" s="10" t="s">
        <v>216</v>
      </c>
      <c r="B27" s="27">
        <v>18485</v>
      </c>
      <c r="J27" s="32"/>
      <c r="K27" s="33"/>
      <c r="L27" s="34"/>
      <c r="M27" s="32"/>
    </row>
    <row r="28" spans="1:13" s="31" customFormat="1" x14ac:dyDescent="0.25">
      <c r="A28" s="10" t="s">
        <v>217</v>
      </c>
      <c r="B28" s="27">
        <v>6620</v>
      </c>
      <c r="J28" s="32"/>
      <c r="K28" s="33"/>
      <c r="L28" s="34"/>
      <c r="M28" s="32"/>
    </row>
    <row r="29" spans="1:13" s="31" customFormat="1" x14ac:dyDescent="0.25">
      <c r="A29" s="10" t="s">
        <v>218</v>
      </c>
      <c r="B29" s="27">
        <v>18125</v>
      </c>
      <c r="J29" s="32"/>
      <c r="K29" s="33"/>
      <c r="L29" s="34"/>
      <c r="M29" s="32"/>
    </row>
    <row r="30" spans="1:13" x14ac:dyDescent="0.25">
      <c r="A30" s="8" t="s">
        <v>24</v>
      </c>
      <c r="B30" s="26">
        <f>SUM(PRODUCTION_DATA!F2:F50)</f>
        <v>43230</v>
      </c>
    </row>
    <row r="31" spans="1:13" s="31" customFormat="1" x14ac:dyDescent="0.25">
      <c r="A31" s="74" t="s">
        <v>186</v>
      </c>
      <c r="B31" s="73"/>
      <c r="J31" s="32"/>
      <c r="K31" s="33"/>
      <c r="L31" s="34"/>
      <c r="M31" s="32"/>
    </row>
    <row r="32" spans="1:13" x14ac:dyDescent="0.25">
      <c r="A32" s="11" t="s">
        <v>5</v>
      </c>
      <c r="B32" s="75">
        <f>SUM(PRODUCTION_DATA!O2:O50)</f>
        <v>534800</v>
      </c>
      <c r="J32" s="12"/>
      <c r="K32" s="13"/>
      <c r="L32" s="14"/>
      <c r="M32" s="12"/>
    </row>
    <row r="33" spans="1:13" x14ac:dyDescent="0.25">
      <c r="A33" s="11" t="s">
        <v>16</v>
      </c>
      <c r="B33" s="4">
        <f>SUM(PRODUCTION_DATA!P2:P50)</f>
        <v>2364340</v>
      </c>
      <c r="J33" s="12"/>
      <c r="K33" s="13"/>
      <c r="L33" s="14"/>
      <c r="M33" s="12"/>
    </row>
    <row r="35" spans="1:13" s="31" customFormat="1" x14ac:dyDescent="0.25">
      <c r="A35" s="9"/>
      <c r="B35" s="2"/>
      <c r="C35"/>
      <c r="J35" s="32"/>
      <c r="K35" s="33"/>
      <c r="L35" s="34"/>
      <c r="M35" s="32"/>
    </row>
  </sheetData>
  <pageMargins left="0.75" right="0.75" top="1" bottom="1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499"/>
  <sheetViews>
    <sheetView tabSelected="1" workbookViewId="0">
      <selection activeCell="C86" sqref="C86"/>
    </sheetView>
  </sheetViews>
  <sheetFormatPr defaultRowHeight="15" x14ac:dyDescent="0.25"/>
  <cols>
    <col min="1" max="1" width="21.42578125" customWidth="1"/>
    <col min="2" max="2" width="11.85546875" style="25" customWidth="1"/>
    <col min="3" max="3" width="14.42578125" style="2" customWidth="1"/>
    <col min="4" max="4" width="13.5703125" style="2" customWidth="1"/>
    <col min="5" max="5" width="12" customWidth="1"/>
  </cols>
  <sheetData>
    <row r="3" spans="1:3" x14ac:dyDescent="0.25">
      <c r="A3" s="21" t="s">
        <v>114</v>
      </c>
      <c r="B3" t="s">
        <v>152</v>
      </c>
      <c r="C3" s="2" t="s">
        <v>157</v>
      </c>
    </row>
    <row r="4" spans="1:3" x14ac:dyDescent="0.25">
      <c r="A4" s="43" t="s">
        <v>19</v>
      </c>
      <c r="B4" s="67">
        <v>18485</v>
      </c>
      <c r="C4" s="2">
        <v>8289700</v>
      </c>
    </row>
    <row r="5" spans="1:3" x14ac:dyDescent="0.25">
      <c r="A5" s="43" t="s">
        <v>18</v>
      </c>
      <c r="B5" s="67">
        <v>6620</v>
      </c>
      <c r="C5" s="2">
        <v>2090500</v>
      </c>
    </row>
    <row r="6" spans="1:3" x14ac:dyDescent="0.25">
      <c r="A6" s="43" t="s">
        <v>17</v>
      </c>
      <c r="B6" s="67">
        <v>18125</v>
      </c>
      <c r="C6" s="2">
        <v>8253340</v>
      </c>
    </row>
    <row r="7" spans="1:3" x14ac:dyDescent="0.25">
      <c r="A7" s="43" t="s">
        <v>115</v>
      </c>
      <c r="B7" s="67">
        <v>43230</v>
      </c>
      <c r="C7" s="2">
        <v>18633540</v>
      </c>
    </row>
    <row r="9" spans="1:3" ht="15.75" x14ac:dyDescent="0.25">
      <c r="A9" s="100" t="s">
        <v>11</v>
      </c>
      <c r="B9" s="101" t="s">
        <v>2</v>
      </c>
      <c r="C9" s="126" t="s">
        <v>254</v>
      </c>
    </row>
    <row r="10" spans="1:3" x14ac:dyDescent="0.25">
      <c r="A10" s="43" t="s">
        <v>19</v>
      </c>
      <c r="B10" s="2">
        <v>8289700</v>
      </c>
      <c r="C10" s="138">
        <v>1357268.4959816881</v>
      </c>
    </row>
    <row r="11" spans="1:3" x14ac:dyDescent="0.25">
      <c r="A11" s="43" t="s">
        <v>18</v>
      </c>
      <c r="B11" s="2">
        <v>2090500</v>
      </c>
      <c r="C11" s="2">
        <v>495935.65847824822</v>
      </c>
    </row>
    <row r="12" spans="1:3" x14ac:dyDescent="0.25">
      <c r="A12" s="43" t="s">
        <v>17</v>
      </c>
      <c r="B12" s="2">
        <v>8253340</v>
      </c>
      <c r="C12" s="2">
        <v>1325360.8455400637</v>
      </c>
    </row>
    <row r="18" spans="1:5" x14ac:dyDescent="0.25">
      <c r="A18" s="21" t="s">
        <v>114</v>
      </c>
      <c r="B18" s="67" t="s">
        <v>157</v>
      </c>
      <c r="C18"/>
    </row>
    <row r="19" spans="1:5" x14ac:dyDescent="0.25">
      <c r="A19" s="43">
        <v>2022</v>
      </c>
      <c r="B19" s="2">
        <v>6068380</v>
      </c>
      <c r="C19"/>
    </row>
    <row r="20" spans="1:5" x14ac:dyDescent="0.25">
      <c r="A20" s="43">
        <v>2023</v>
      </c>
      <c r="B20" s="2">
        <v>6556450</v>
      </c>
      <c r="C20"/>
    </row>
    <row r="21" spans="1:5" x14ac:dyDescent="0.25">
      <c r="A21" s="43">
        <v>2024</v>
      </c>
      <c r="B21" s="2">
        <v>1790610</v>
      </c>
      <c r="C21"/>
    </row>
    <row r="22" spans="1:5" x14ac:dyDescent="0.25">
      <c r="A22" s="43">
        <v>2025</v>
      </c>
      <c r="B22" s="2">
        <v>4218100</v>
      </c>
      <c r="C22"/>
    </row>
    <row r="23" spans="1:5" x14ac:dyDescent="0.25">
      <c r="A23" s="43" t="s">
        <v>115</v>
      </c>
      <c r="B23" s="2">
        <v>18633540</v>
      </c>
      <c r="C23"/>
    </row>
    <row r="24" spans="1:5" x14ac:dyDescent="0.25">
      <c r="B24"/>
      <c r="C24"/>
    </row>
    <row r="25" spans="1:5" x14ac:dyDescent="0.25">
      <c r="A25" s="1" t="s">
        <v>255</v>
      </c>
      <c r="B25" s="1" t="s">
        <v>8</v>
      </c>
      <c r="C25"/>
    </row>
    <row r="26" spans="1:5" x14ac:dyDescent="0.25">
      <c r="A26" s="43">
        <v>2022</v>
      </c>
      <c r="B26" s="2">
        <v>6068380</v>
      </c>
      <c r="C26"/>
    </row>
    <row r="27" spans="1:5" x14ac:dyDescent="0.25">
      <c r="A27" s="43">
        <v>2023</v>
      </c>
      <c r="B27" s="2">
        <v>6556450</v>
      </c>
      <c r="C27"/>
    </row>
    <row r="28" spans="1:5" x14ac:dyDescent="0.25">
      <c r="A28" s="43">
        <v>2024</v>
      </c>
      <c r="B28" s="2">
        <v>1790610</v>
      </c>
      <c r="C28"/>
      <c r="E28" s="1" t="s">
        <v>8</v>
      </c>
    </row>
    <row r="29" spans="1:5" x14ac:dyDescent="0.25">
      <c r="A29" s="43">
        <v>2025</v>
      </c>
      <c r="B29" s="2">
        <v>4218100</v>
      </c>
      <c r="C29"/>
      <c r="E29" s="2"/>
    </row>
    <row r="30" spans="1:5" x14ac:dyDescent="0.25">
      <c r="B30"/>
      <c r="C30"/>
      <c r="E30" s="2">
        <v>340250</v>
      </c>
    </row>
    <row r="31" spans="1:5" x14ac:dyDescent="0.25">
      <c r="B31"/>
      <c r="C31"/>
      <c r="E31" s="2">
        <v>347950</v>
      </c>
    </row>
    <row r="32" spans="1:5" x14ac:dyDescent="0.25">
      <c r="B32"/>
      <c r="C32"/>
      <c r="E32" s="2">
        <v>257600</v>
      </c>
    </row>
    <row r="33" spans="1:5" x14ac:dyDescent="0.25">
      <c r="B33"/>
      <c r="C33"/>
      <c r="E33" s="2">
        <v>521800</v>
      </c>
    </row>
    <row r="34" spans="1:5" x14ac:dyDescent="0.25">
      <c r="A34" s="1" t="s">
        <v>6</v>
      </c>
      <c r="B34" s="1" t="s">
        <v>9</v>
      </c>
      <c r="C34"/>
      <c r="D34" s="83" t="s">
        <v>24</v>
      </c>
      <c r="E34" s="2">
        <v>114700</v>
      </c>
    </row>
    <row r="35" spans="1:5" x14ac:dyDescent="0.25">
      <c r="A35" s="2">
        <v>276125</v>
      </c>
      <c r="B35" s="2">
        <v>-276125</v>
      </c>
      <c r="C35"/>
      <c r="D35" s="25"/>
      <c r="E35" s="2">
        <v>222800</v>
      </c>
    </row>
    <row r="36" spans="1:5" x14ac:dyDescent="0.25">
      <c r="A36" s="2">
        <v>63700</v>
      </c>
      <c r="B36" s="2">
        <v>276550</v>
      </c>
      <c r="C36"/>
      <c r="D36" s="25">
        <v>1274</v>
      </c>
      <c r="E36" s="2">
        <v>190000</v>
      </c>
    </row>
    <row r="37" spans="1:5" x14ac:dyDescent="0.25">
      <c r="A37" s="2">
        <v>472150</v>
      </c>
      <c r="B37" s="2">
        <v>-124200</v>
      </c>
      <c r="C37"/>
      <c r="D37" s="25">
        <v>1283</v>
      </c>
      <c r="E37" s="2">
        <v>1594000</v>
      </c>
    </row>
    <row r="38" spans="1:5" x14ac:dyDescent="0.25">
      <c r="A38" s="2">
        <v>255900</v>
      </c>
      <c r="B38" s="2">
        <v>1700</v>
      </c>
      <c r="C38"/>
      <c r="D38" s="25">
        <v>802</v>
      </c>
      <c r="E38" s="2">
        <v>297980</v>
      </c>
    </row>
    <row r="39" spans="1:5" x14ac:dyDescent="0.25">
      <c r="A39" s="2">
        <v>340400</v>
      </c>
      <c r="B39" s="2">
        <v>181400</v>
      </c>
      <c r="C39"/>
      <c r="D39" s="25">
        <v>1560</v>
      </c>
      <c r="E39" s="2">
        <v>1176300</v>
      </c>
    </row>
    <row r="40" spans="1:5" x14ac:dyDescent="0.25">
      <c r="A40" s="2">
        <v>115800</v>
      </c>
      <c r="B40" s="2">
        <v>-1100</v>
      </c>
      <c r="C40"/>
      <c r="D40" s="25">
        <v>376</v>
      </c>
      <c r="E40" s="2">
        <v>425000</v>
      </c>
    </row>
    <row r="41" spans="1:5" x14ac:dyDescent="0.25">
      <c r="A41" s="2">
        <v>261800</v>
      </c>
      <c r="B41" s="2">
        <v>-39000</v>
      </c>
      <c r="C41"/>
      <c r="D41" s="25">
        <v>706</v>
      </c>
      <c r="E41" s="2">
        <v>580000</v>
      </c>
    </row>
    <row r="42" spans="1:5" x14ac:dyDescent="0.25">
      <c r="A42" s="2">
        <v>142700</v>
      </c>
      <c r="B42" s="2">
        <v>47300</v>
      </c>
      <c r="C42"/>
      <c r="D42" s="25">
        <v>600</v>
      </c>
      <c r="E42" s="2">
        <v>351320</v>
      </c>
    </row>
    <row r="43" spans="1:5" x14ac:dyDescent="0.25">
      <c r="A43" s="2">
        <v>1295200</v>
      </c>
      <c r="B43" s="2">
        <v>298800</v>
      </c>
      <c r="C43"/>
      <c r="D43" s="25">
        <v>4600</v>
      </c>
      <c r="E43" s="2"/>
    </row>
    <row r="44" spans="1:5" x14ac:dyDescent="0.25">
      <c r="A44" s="2">
        <v>444350</v>
      </c>
      <c r="B44" s="2">
        <v>-146370</v>
      </c>
      <c r="C44"/>
      <c r="D44" s="25">
        <v>954</v>
      </c>
      <c r="E44" s="2">
        <v>644100</v>
      </c>
    </row>
    <row r="45" spans="1:5" x14ac:dyDescent="0.25">
      <c r="A45" s="2">
        <v>1017500</v>
      </c>
      <c r="B45" s="2">
        <v>158800</v>
      </c>
      <c r="C45"/>
      <c r="D45" s="25">
        <v>3460</v>
      </c>
      <c r="E45" s="2">
        <v>1015940</v>
      </c>
    </row>
    <row r="46" spans="1:5" x14ac:dyDescent="0.25">
      <c r="A46" s="2">
        <v>172000</v>
      </c>
      <c r="B46" s="2">
        <v>253000</v>
      </c>
      <c r="C46"/>
      <c r="D46" s="25">
        <v>1150</v>
      </c>
      <c r="E46" s="2">
        <v>584200</v>
      </c>
    </row>
    <row r="47" spans="1:5" x14ac:dyDescent="0.25">
      <c r="A47" s="2">
        <v>511300</v>
      </c>
      <c r="B47" s="2">
        <v>68700</v>
      </c>
      <c r="C47"/>
      <c r="D47" s="25">
        <v>1534</v>
      </c>
      <c r="E47" s="2">
        <v>343200</v>
      </c>
    </row>
    <row r="48" spans="1:5" x14ac:dyDescent="0.25">
      <c r="A48" s="2">
        <v>258900</v>
      </c>
      <c r="B48" s="2">
        <v>92420</v>
      </c>
      <c r="C48"/>
      <c r="D48" s="25">
        <v>950</v>
      </c>
      <c r="E48" s="2">
        <v>181500</v>
      </c>
    </row>
    <row r="49" spans="1:5" x14ac:dyDescent="0.25">
      <c r="A49" s="2"/>
      <c r="B49" s="2"/>
      <c r="C49"/>
      <c r="D49" s="25"/>
      <c r="E49" s="2">
        <v>182200</v>
      </c>
    </row>
    <row r="50" spans="1:5" x14ac:dyDescent="0.25">
      <c r="A50" s="2">
        <v>568960</v>
      </c>
      <c r="B50" s="2">
        <v>75140</v>
      </c>
      <c r="C50"/>
      <c r="D50" s="25">
        <v>1616</v>
      </c>
      <c r="E50" s="2">
        <v>841200</v>
      </c>
    </row>
    <row r="51" spans="1:5" x14ac:dyDescent="0.25">
      <c r="A51" s="2">
        <v>877290</v>
      </c>
      <c r="B51" s="2">
        <v>138650</v>
      </c>
      <c r="C51"/>
      <c r="D51" s="25">
        <v>3381</v>
      </c>
      <c r="E51" s="2">
        <v>1255440</v>
      </c>
    </row>
    <row r="52" spans="1:5" x14ac:dyDescent="0.25">
      <c r="A52" s="2">
        <v>179420</v>
      </c>
      <c r="B52" s="2">
        <v>404780</v>
      </c>
      <c r="C52"/>
      <c r="D52" s="25">
        <v>1642</v>
      </c>
      <c r="E52" s="2">
        <v>446900</v>
      </c>
    </row>
    <row r="53" spans="1:5" x14ac:dyDescent="0.25">
      <c r="A53" s="2">
        <v>442200</v>
      </c>
      <c r="B53" s="2">
        <v>-99000</v>
      </c>
      <c r="C53"/>
      <c r="D53" s="25">
        <v>870</v>
      </c>
      <c r="E53" s="2">
        <v>710450</v>
      </c>
    </row>
    <row r="54" spans="1:5" x14ac:dyDescent="0.25">
      <c r="A54" s="2">
        <v>360670</v>
      </c>
      <c r="B54" s="2">
        <v>-179170</v>
      </c>
      <c r="C54"/>
      <c r="D54" s="25">
        <v>470</v>
      </c>
      <c r="E54" s="2">
        <v>294000</v>
      </c>
    </row>
    <row r="55" spans="1:5" x14ac:dyDescent="0.25">
      <c r="A55" s="2">
        <v>275580</v>
      </c>
      <c r="B55" s="2">
        <v>-93380</v>
      </c>
      <c r="C55"/>
      <c r="D55" s="25">
        <v>440</v>
      </c>
      <c r="E55" s="2">
        <v>1120000</v>
      </c>
    </row>
    <row r="56" spans="1:5" x14ac:dyDescent="0.25">
      <c r="A56" s="2">
        <v>690830</v>
      </c>
      <c r="B56" s="2">
        <v>150370</v>
      </c>
      <c r="C56"/>
      <c r="D56" s="25">
        <v>1928</v>
      </c>
      <c r="E56" s="2">
        <v>236350</v>
      </c>
    </row>
    <row r="57" spans="1:5" x14ac:dyDescent="0.25">
      <c r="A57" s="2">
        <v>971030</v>
      </c>
      <c r="B57" s="2">
        <v>284410</v>
      </c>
      <c r="C57"/>
      <c r="D57" s="25">
        <v>2838</v>
      </c>
      <c r="E57" s="2">
        <v>129060</v>
      </c>
    </row>
    <row r="58" spans="1:5" x14ac:dyDescent="0.25">
      <c r="A58" s="2">
        <v>295620</v>
      </c>
      <c r="B58" s="2">
        <v>151280</v>
      </c>
      <c r="C58"/>
      <c r="D58" s="25">
        <v>982</v>
      </c>
      <c r="E58" s="2"/>
    </row>
    <row r="59" spans="1:5" x14ac:dyDescent="0.25">
      <c r="A59" s="2">
        <v>646250</v>
      </c>
      <c r="B59" s="2">
        <v>64200</v>
      </c>
      <c r="C59"/>
      <c r="D59" s="25">
        <v>1505</v>
      </c>
      <c r="E59" s="2">
        <v>11200</v>
      </c>
    </row>
    <row r="60" spans="1:5" x14ac:dyDescent="0.25">
      <c r="A60" s="2">
        <v>105400</v>
      </c>
      <c r="B60" s="2">
        <v>188600</v>
      </c>
      <c r="C60"/>
      <c r="D60" s="25">
        <v>720</v>
      </c>
      <c r="E60" s="2"/>
    </row>
    <row r="61" spans="1:5" x14ac:dyDescent="0.25">
      <c r="A61" s="2">
        <v>935200</v>
      </c>
      <c r="B61" s="2">
        <v>184800</v>
      </c>
      <c r="C61"/>
      <c r="D61" s="25">
        <v>2020</v>
      </c>
      <c r="E61" s="2"/>
    </row>
    <row r="62" spans="1:5" x14ac:dyDescent="0.25">
      <c r="A62" s="2">
        <v>109290</v>
      </c>
      <c r="B62" s="2">
        <v>127060</v>
      </c>
      <c r="C62"/>
      <c r="D62" s="25">
        <v>347</v>
      </c>
      <c r="E62" s="2"/>
    </row>
    <row r="63" spans="1:5" x14ac:dyDescent="0.25">
      <c r="A63" s="2">
        <v>12110</v>
      </c>
      <c r="B63" s="2">
        <v>116950</v>
      </c>
      <c r="C63"/>
      <c r="D63" s="25">
        <v>173</v>
      </c>
      <c r="E63" s="2"/>
    </row>
    <row r="64" spans="1:5" x14ac:dyDescent="0.25">
      <c r="A64" s="2"/>
      <c r="B64" s="2"/>
      <c r="C64"/>
      <c r="D64" s="25"/>
      <c r="E64" s="2"/>
    </row>
    <row r="65" spans="1:5" x14ac:dyDescent="0.25">
      <c r="A65" s="2"/>
      <c r="B65" s="2">
        <v>11200</v>
      </c>
      <c r="C65"/>
      <c r="D65" s="25">
        <v>16</v>
      </c>
      <c r="E65" s="2"/>
    </row>
    <row r="66" spans="1:5" x14ac:dyDescent="0.25">
      <c r="A66" s="2"/>
      <c r="B66" s="2"/>
      <c r="C66"/>
      <c r="D66" s="25"/>
      <c r="E66" s="2"/>
    </row>
    <row r="67" spans="1:5" x14ac:dyDescent="0.25">
      <c r="A67" s="2"/>
      <c r="B67" s="2"/>
      <c r="C67"/>
      <c r="D67" s="25"/>
      <c r="E67" s="2"/>
    </row>
    <row r="68" spans="1:5" x14ac:dyDescent="0.25">
      <c r="A68" s="2"/>
      <c r="B68" s="2"/>
      <c r="C68"/>
      <c r="D68" s="25"/>
      <c r="E68" s="2"/>
    </row>
    <row r="69" spans="1:5" x14ac:dyDescent="0.25">
      <c r="A69" s="2"/>
      <c r="B69" s="2"/>
      <c r="C69"/>
      <c r="D69" s="25"/>
      <c r="E69" s="2"/>
    </row>
    <row r="70" spans="1:5" x14ac:dyDescent="0.25">
      <c r="A70" s="2"/>
      <c r="B70" s="2"/>
      <c r="C70"/>
      <c r="D70" s="25"/>
      <c r="E70" s="2"/>
    </row>
    <row r="71" spans="1:5" x14ac:dyDescent="0.25">
      <c r="A71" s="2"/>
      <c r="B71" s="2"/>
      <c r="C71"/>
      <c r="D71" s="25"/>
      <c r="E71" s="2">
        <v>760000</v>
      </c>
    </row>
    <row r="72" spans="1:5" x14ac:dyDescent="0.25">
      <c r="A72" s="2"/>
      <c r="B72" s="2"/>
      <c r="C72"/>
      <c r="D72" s="25"/>
      <c r="E72" s="2">
        <v>762500</v>
      </c>
    </row>
    <row r="73" spans="1:5" x14ac:dyDescent="0.25">
      <c r="A73" s="2"/>
      <c r="B73" s="2"/>
      <c r="C73"/>
      <c r="D73" s="25"/>
      <c r="E73" s="2">
        <v>290300</v>
      </c>
    </row>
    <row r="74" spans="1:5" x14ac:dyDescent="0.25">
      <c r="A74" s="2"/>
      <c r="B74" s="2"/>
      <c r="C74"/>
      <c r="D74" s="25"/>
      <c r="E74" s="2">
        <v>436500</v>
      </c>
    </row>
    <row r="75" spans="1:5" x14ac:dyDescent="0.25">
      <c r="A75" s="2"/>
      <c r="B75" s="2"/>
      <c r="C75"/>
      <c r="D75" s="25"/>
      <c r="E75" s="2">
        <v>359700</v>
      </c>
    </row>
    <row r="76" spans="1:5" x14ac:dyDescent="0.25">
      <c r="A76" s="2">
        <v>814450</v>
      </c>
      <c r="B76" s="2">
        <v>-814450</v>
      </c>
      <c r="C76"/>
      <c r="D76" s="25"/>
      <c r="E76" s="2">
        <v>885500</v>
      </c>
    </row>
    <row r="77" spans="1:5" x14ac:dyDescent="0.25">
      <c r="A77" s="2">
        <v>69375</v>
      </c>
      <c r="B77" s="2">
        <v>690625</v>
      </c>
      <c r="C77"/>
      <c r="D77" s="25">
        <v>925</v>
      </c>
      <c r="E77" s="2">
        <v>723600</v>
      </c>
    </row>
    <row r="78" spans="1:5" x14ac:dyDescent="0.25">
      <c r="A78" s="2">
        <v>741250</v>
      </c>
      <c r="B78" s="2">
        <v>21250</v>
      </c>
      <c r="C78"/>
      <c r="D78" s="25">
        <v>850</v>
      </c>
    </row>
    <row r="79" spans="1:5" x14ac:dyDescent="0.25">
      <c r="A79" s="2">
        <v>23550</v>
      </c>
      <c r="B79" s="2">
        <v>266750</v>
      </c>
      <c r="C79"/>
      <c r="D79" s="25">
        <v>377</v>
      </c>
    </row>
    <row r="80" spans="1:5" x14ac:dyDescent="0.25">
      <c r="A80" s="2">
        <v>141250</v>
      </c>
      <c r="B80" s="2">
        <v>295250</v>
      </c>
      <c r="C80"/>
      <c r="D80" s="25">
        <v>550</v>
      </c>
    </row>
    <row r="81" spans="1:4" x14ac:dyDescent="0.25">
      <c r="A81" s="2">
        <v>273450</v>
      </c>
      <c r="B81" s="2">
        <v>86250</v>
      </c>
      <c r="C81"/>
      <c r="D81" s="25">
        <v>414</v>
      </c>
    </row>
    <row r="82" spans="1:4" x14ac:dyDescent="0.25">
      <c r="A82" s="2">
        <v>1235025</v>
      </c>
      <c r="B82" s="2">
        <v>-349525</v>
      </c>
      <c r="C82"/>
      <c r="D82" s="25">
        <v>1131</v>
      </c>
    </row>
    <row r="83" spans="1:4" x14ac:dyDescent="0.25">
      <c r="A83" s="2">
        <v>58950</v>
      </c>
      <c r="B83" s="2">
        <v>664650</v>
      </c>
      <c r="C83"/>
      <c r="D83" s="25">
        <v>786</v>
      </c>
    </row>
    <row r="84" spans="1:4" x14ac:dyDescent="0.25">
      <c r="B84"/>
      <c r="C84"/>
    </row>
    <row r="85" spans="1:4" x14ac:dyDescent="0.25">
      <c r="B85"/>
      <c r="C85"/>
    </row>
    <row r="86" spans="1:4" x14ac:dyDescent="0.25">
      <c r="B86"/>
      <c r="C86"/>
    </row>
    <row r="87" spans="1:4" x14ac:dyDescent="0.25">
      <c r="B87"/>
      <c r="C87"/>
    </row>
    <row r="88" spans="1:4" ht="16.5" x14ac:dyDescent="0.3">
      <c r="A88" s="170" t="s">
        <v>268</v>
      </c>
      <c r="B88" s="169"/>
      <c r="C88" s="174"/>
    </row>
    <row r="89" spans="1:4" x14ac:dyDescent="0.25">
      <c r="A89" s="165" t="s">
        <v>262</v>
      </c>
      <c r="B89" s="165" t="s">
        <v>180</v>
      </c>
      <c r="C89" s="165" t="s">
        <v>263</v>
      </c>
      <c r="D89"/>
    </row>
    <row r="90" spans="1:4" x14ac:dyDescent="0.25">
      <c r="A90" s="166" t="s">
        <v>256</v>
      </c>
      <c r="B90" s="167">
        <f>CORREL(PRODUCTION_DATA!E2:E50, PRODUCTION_DATA!F2:F50)</f>
        <v>0.85450771190472719</v>
      </c>
      <c r="C90" s="173" t="s">
        <v>264</v>
      </c>
      <c r="D90"/>
    </row>
    <row r="91" spans="1:4" x14ac:dyDescent="0.25">
      <c r="A91" s="166" t="s">
        <v>257</v>
      </c>
      <c r="B91" s="167">
        <f>CORREL(PRODUCTION_DATA!E2:E50, PRODUCTION_DATA!R2:R50)</f>
        <v>0.83464075807384774</v>
      </c>
      <c r="C91" s="173" t="s">
        <v>264</v>
      </c>
      <c r="D91"/>
    </row>
    <row r="92" spans="1:4" x14ac:dyDescent="0.25">
      <c r="A92" s="166" t="s">
        <v>258</v>
      </c>
      <c r="B92" s="167">
        <f>CORREL(PRODUCTION_DATA!E2:E50, PRODUCTION_DATA!Q2:Q50)</f>
        <v>0.81913693268252874</v>
      </c>
      <c r="C92" s="173" t="s">
        <v>264</v>
      </c>
      <c r="D92"/>
    </row>
    <row r="93" spans="1:4" x14ac:dyDescent="0.25">
      <c r="A93" s="166" t="s">
        <v>259</v>
      </c>
      <c r="B93" s="167">
        <f>CORREL(PRODUCTION_DATA!E2:E50, PRODUCTION_DATA!S2:S50)</f>
        <v>9.0764253921344448E-2</v>
      </c>
      <c r="C93" s="171" t="s">
        <v>265</v>
      </c>
      <c r="D93"/>
    </row>
    <row r="94" spans="1:4" x14ac:dyDescent="0.25">
      <c r="A94" s="166" t="s">
        <v>260</v>
      </c>
      <c r="B94" s="168">
        <f>CORREL(PRODUCTION_DATA!R2:R50, PRODUCTION_DATA!S2:S50)</f>
        <v>-0.29503239837010331</v>
      </c>
      <c r="C94" s="168" t="s">
        <v>266</v>
      </c>
      <c r="D94"/>
    </row>
    <row r="95" spans="1:4" x14ac:dyDescent="0.25">
      <c r="A95" s="166" t="s">
        <v>261</v>
      </c>
      <c r="B95" s="167">
        <f>CORREL(PRODUCTION_DATA!Q2:Q50, PRODUCTION_DATA!T2:T50)</f>
        <v>0.36733980570264718</v>
      </c>
      <c r="C95" s="172" t="s">
        <v>267</v>
      </c>
      <c r="D95"/>
    </row>
    <row r="96" spans="1:4" x14ac:dyDescent="0.25">
      <c r="B96"/>
      <c r="C96"/>
    </row>
    <row r="97" spans="2:3" x14ac:dyDescent="0.25">
      <c r="B97"/>
      <c r="C97"/>
    </row>
    <row r="98" spans="2:3" x14ac:dyDescent="0.25">
      <c r="B98"/>
      <c r="C98"/>
    </row>
    <row r="99" spans="2:3" x14ac:dyDescent="0.25">
      <c r="B99"/>
      <c r="C99"/>
    </row>
    <row r="100" spans="2:3" x14ac:dyDescent="0.25">
      <c r="B100"/>
      <c r="C100"/>
    </row>
    <row r="101" spans="2:3" x14ac:dyDescent="0.25">
      <c r="B101"/>
      <c r="C101"/>
    </row>
    <row r="102" spans="2:3" x14ac:dyDescent="0.25">
      <c r="B102"/>
      <c r="C102"/>
    </row>
    <row r="103" spans="2:3" x14ac:dyDescent="0.25">
      <c r="B103"/>
      <c r="C103"/>
    </row>
    <row r="104" spans="2:3" x14ac:dyDescent="0.25">
      <c r="B104"/>
      <c r="C104"/>
    </row>
    <row r="105" spans="2:3" x14ac:dyDescent="0.25">
      <c r="B105"/>
      <c r="C105"/>
    </row>
    <row r="106" spans="2:3" x14ac:dyDescent="0.25">
      <c r="B106"/>
      <c r="C106"/>
    </row>
    <row r="107" spans="2:3" x14ac:dyDescent="0.25">
      <c r="B107"/>
      <c r="C107"/>
    </row>
    <row r="108" spans="2:3" x14ac:dyDescent="0.25">
      <c r="B108"/>
      <c r="C108"/>
    </row>
    <row r="109" spans="2:3" x14ac:dyDescent="0.25">
      <c r="B109"/>
      <c r="C109"/>
    </row>
    <row r="110" spans="2:3" x14ac:dyDescent="0.25">
      <c r="B110"/>
      <c r="C110"/>
    </row>
    <row r="111" spans="2:3" x14ac:dyDescent="0.25">
      <c r="B111"/>
      <c r="C111"/>
    </row>
    <row r="112" spans="2:3" x14ac:dyDescent="0.25">
      <c r="B112"/>
      <c r="C112"/>
    </row>
    <row r="113" spans="2:3" x14ac:dyDescent="0.25">
      <c r="B113"/>
      <c r="C113"/>
    </row>
    <row r="114" spans="2:3" x14ac:dyDescent="0.25">
      <c r="B114"/>
      <c r="C114"/>
    </row>
    <row r="115" spans="2:3" x14ac:dyDescent="0.25">
      <c r="B115"/>
      <c r="C115"/>
    </row>
    <row r="116" spans="2:3" x14ac:dyDescent="0.25">
      <c r="B116"/>
      <c r="C116"/>
    </row>
    <row r="117" spans="2:3" x14ac:dyDescent="0.25">
      <c r="B117"/>
      <c r="C117"/>
    </row>
    <row r="118" spans="2:3" x14ac:dyDescent="0.25">
      <c r="B118"/>
      <c r="C118"/>
    </row>
    <row r="119" spans="2:3" x14ac:dyDescent="0.25">
      <c r="B119"/>
      <c r="C119"/>
    </row>
    <row r="120" spans="2:3" x14ac:dyDescent="0.25">
      <c r="B120"/>
      <c r="C120"/>
    </row>
    <row r="121" spans="2:3" x14ac:dyDescent="0.25">
      <c r="B121"/>
      <c r="C121"/>
    </row>
    <row r="122" spans="2:3" x14ac:dyDescent="0.25">
      <c r="B122"/>
      <c r="C122"/>
    </row>
    <row r="123" spans="2:3" x14ac:dyDescent="0.25">
      <c r="B123"/>
      <c r="C123"/>
    </row>
    <row r="124" spans="2:3" x14ac:dyDescent="0.25">
      <c r="B124"/>
      <c r="C124"/>
    </row>
    <row r="125" spans="2:3" x14ac:dyDescent="0.25">
      <c r="B125"/>
      <c r="C125"/>
    </row>
    <row r="126" spans="2:3" x14ac:dyDescent="0.25">
      <c r="B126"/>
      <c r="C126"/>
    </row>
    <row r="127" spans="2:3" x14ac:dyDescent="0.25">
      <c r="B127"/>
      <c r="C127"/>
    </row>
    <row r="128" spans="2:3" x14ac:dyDescent="0.25">
      <c r="B128"/>
      <c r="C128"/>
    </row>
    <row r="129" spans="2:3" x14ac:dyDescent="0.25">
      <c r="B129"/>
      <c r="C129"/>
    </row>
    <row r="130" spans="2:3" x14ac:dyDescent="0.25">
      <c r="B130"/>
      <c r="C130"/>
    </row>
    <row r="131" spans="2:3" x14ac:dyDescent="0.25">
      <c r="B131"/>
      <c r="C131"/>
    </row>
    <row r="132" spans="2:3" x14ac:dyDescent="0.25">
      <c r="B132"/>
      <c r="C132"/>
    </row>
    <row r="133" spans="2:3" x14ac:dyDescent="0.25">
      <c r="B133"/>
      <c r="C133"/>
    </row>
    <row r="134" spans="2:3" x14ac:dyDescent="0.25">
      <c r="B134"/>
      <c r="C134"/>
    </row>
    <row r="135" spans="2:3" x14ac:dyDescent="0.25">
      <c r="B135"/>
      <c r="C135"/>
    </row>
    <row r="136" spans="2:3" x14ac:dyDescent="0.25">
      <c r="B136"/>
      <c r="C136"/>
    </row>
    <row r="137" spans="2:3" x14ac:dyDescent="0.25">
      <c r="B137"/>
      <c r="C137"/>
    </row>
    <row r="138" spans="2:3" x14ac:dyDescent="0.25">
      <c r="B138"/>
      <c r="C138"/>
    </row>
    <row r="139" spans="2:3" x14ac:dyDescent="0.25">
      <c r="B139"/>
      <c r="C139"/>
    </row>
    <row r="140" spans="2:3" x14ac:dyDescent="0.25">
      <c r="B140"/>
      <c r="C140"/>
    </row>
    <row r="141" spans="2:3" x14ac:dyDescent="0.25">
      <c r="B141"/>
      <c r="C141"/>
    </row>
    <row r="142" spans="2:3" x14ac:dyDescent="0.25">
      <c r="B142"/>
      <c r="C142"/>
    </row>
    <row r="143" spans="2:3" x14ac:dyDescent="0.25">
      <c r="B143"/>
      <c r="C143"/>
    </row>
    <row r="144" spans="2:3" x14ac:dyDescent="0.25">
      <c r="B144"/>
      <c r="C144"/>
    </row>
    <row r="145" spans="2:3" x14ac:dyDescent="0.25">
      <c r="B145"/>
      <c r="C145"/>
    </row>
    <row r="146" spans="2:3" x14ac:dyDescent="0.25">
      <c r="B146"/>
      <c r="C146"/>
    </row>
    <row r="147" spans="2:3" x14ac:dyDescent="0.25">
      <c r="B147"/>
      <c r="C147"/>
    </row>
    <row r="148" spans="2:3" x14ac:dyDescent="0.25">
      <c r="B148"/>
      <c r="C148"/>
    </row>
    <row r="149" spans="2:3" x14ac:dyDescent="0.25">
      <c r="B149"/>
      <c r="C149"/>
    </row>
    <row r="150" spans="2:3" x14ac:dyDescent="0.25">
      <c r="B150"/>
      <c r="C150"/>
    </row>
    <row r="151" spans="2:3" x14ac:dyDescent="0.25">
      <c r="B151"/>
      <c r="C151"/>
    </row>
    <row r="152" spans="2:3" x14ac:dyDescent="0.25">
      <c r="B152"/>
      <c r="C152"/>
    </row>
    <row r="153" spans="2:3" x14ac:dyDescent="0.25">
      <c r="B153"/>
      <c r="C153"/>
    </row>
    <row r="154" spans="2:3" x14ac:dyDescent="0.25">
      <c r="B154"/>
      <c r="C154"/>
    </row>
    <row r="155" spans="2:3" x14ac:dyDescent="0.25">
      <c r="B155"/>
      <c r="C155"/>
    </row>
    <row r="156" spans="2:3" x14ac:dyDescent="0.25">
      <c r="B156"/>
      <c r="C156"/>
    </row>
    <row r="157" spans="2:3" x14ac:dyDescent="0.25">
      <c r="B157"/>
      <c r="C157"/>
    </row>
    <row r="158" spans="2:3" x14ac:dyDescent="0.25">
      <c r="B158"/>
      <c r="C158"/>
    </row>
    <row r="159" spans="2:3" x14ac:dyDescent="0.25">
      <c r="B159"/>
      <c r="C159"/>
    </row>
    <row r="160" spans="2:3" x14ac:dyDescent="0.25">
      <c r="B160"/>
      <c r="C160"/>
    </row>
    <row r="161" spans="2:3" x14ac:dyDescent="0.25">
      <c r="B161"/>
      <c r="C161"/>
    </row>
    <row r="162" spans="2:3" x14ac:dyDescent="0.25">
      <c r="B162"/>
      <c r="C162"/>
    </row>
    <row r="163" spans="2:3" x14ac:dyDescent="0.25">
      <c r="B163"/>
      <c r="C163"/>
    </row>
    <row r="164" spans="2:3" x14ac:dyDescent="0.25">
      <c r="B164"/>
      <c r="C164"/>
    </row>
    <row r="165" spans="2:3" x14ac:dyDescent="0.25">
      <c r="B165"/>
      <c r="C165"/>
    </row>
    <row r="166" spans="2:3" x14ac:dyDescent="0.25">
      <c r="B166"/>
      <c r="C166"/>
    </row>
    <row r="167" spans="2:3" x14ac:dyDescent="0.25">
      <c r="B167"/>
      <c r="C167"/>
    </row>
    <row r="168" spans="2:3" x14ac:dyDescent="0.25">
      <c r="B168"/>
      <c r="C168"/>
    </row>
    <row r="169" spans="2:3" x14ac:dyDescent="0.25">
      <c r="B169"/>
      <c r="C169"/>
    </row>
    <row r="170" spans="2:3" x14ac:dyDescent="0.25">
      <c r="B170"/>
      <c r="C170"/>
    </row>
    <row r="171" spans="2:3" x14ac:dyDescent="0.25">
      <c r="B171"/>
      <c r="C171"/>
    </row>
    <row r="172" spans="2:3" x14ac:dyDescent="0.25">
      <c r="B172"/>
      <c r="C172"/>
    </row>
    <row r="173" spans="2:3" x14ac:dyDescent="0.25">
      <c r="B173"/>
      <c r="C173"/>
    </row>
    <row r="174" spans="2:3" x14ac:dyDescent="0.25">
      <c r="B174"/>
      <c r="C174"/>
    </row>
    <row r="175" spans="2:3" x14ac:dyDescent="0.25">
      <c r="B175"/>
      <c r="C175"/>
    </row>
    <row r="176" spans="2:3" x14ac:dyDescent="0.25">
      <c r="B176"/>
      <c r="C176"/>
    </row>
    <row r="177" spans="2:3" x14ac:dyDescent="0.25">
      <c r="B177"/>
      <c r="C177"/>
    </row>
    <row r="178" spans="2:3" x14ac:dyDescent="0.25">
      <c r="B178"/>
      <c r="C178"/>
    </row>
    <row r="179" spans="2:3" x14ac:dyDescent="0.25">
      <c r="B179"/>
      <c r="C179"/>
    </row>
    <row r="180" spans="2:3" x14ac:dyDescent="0.25">
      <c r="B180"/>
      <c r="C180"/>
    </row>
    <row r="181" spans="2:3" x14ac:dyDescent="0.25">
      <c r="B181"/>
      <c r="C181"/>
    </row>
    <row r="182" spans="2:3" x14ac:dyDescent="0.25">
      <c r="B182"/>
      <c r="C182"/>
    </row>
    <row r="183" spans="2:3" x14ac:dyDescent="0.25">
      <c r="B183"/>
      <c r="C183"/>
    </row>
    <row r="184" spans="2:3" x14ac:dyDescent="0.25">
      <c r="B184"/>
      <c r="C184"/>
    </row>
    <row r="185" spans="2:3" x14ac:dyDescent="0.25">
      <c r="B185"/>
      <c r="C185"/>
    </row>
    <row r="186" spans="2:3" x14ac:dyDescent="0.25">
      <c r="B186"/>
      <c r="C186"/>
    </row>
    <row r="187" spans="2:3" x14ac:dyDescent="0.25">
      <c r="B187"/>
      <c r="C187"/>
    </row>
    <row r="188" spans="2:3" x14ac:dyDescent="0.25">
      <c r="B188"/>
      <c r="C188"/>
    </row>
    <row r="189" spans="2:3" x14ac:dyDescent="0.25">
      <c r="B189"/>
      <c r="C189"/>
    </row>
    <row r="190" spans="2:3" x14ac:dyDescent="0.25">
      <c r="B190"/>
      <c r="C190"/>
    </row>
    <row r="191" spans="2:3" x14ac:dyDescent="0.25">
      <c r="B191"/>
      <c r="C191"/>
    </row>
    <row r="192" spans="2:3" x14ac:dyDescent="0.25">
      <c r="B192"/>
      <c r="C192"/>
    </row>
    <row r="193" spans="2:3" x14ac:dyDescent="0.25">
      <c r="B193"/>
      <c r="C193"/>
    </row>
    <row r="194" spans="2:3" x14ac:dyDescent="0.25">
      <c r="B194"/>
      <c r="C194"/>
    </row>
    <row r="195" spans="2:3" x14ac:dyDescent="0.25">
      <c r="B195"/>
      <c r="C195"/>
    </row>
    <row r="196" spans="2:3" x14ac:dyDescent="0.25">
      <c r="B196"/>
      <c r="C196"/>
    </row>
    <row r="197" spans="2:3" x14ac:dyDescent="0.25">
      <c r="B197"/>
      <c r="C197"/>
    </row>
    <row r="198" spans="2:3" x14ac:dyDescent="0.25">
      <c r="B198"/>
      <c r="C198"/>
    </row>
    <row r="199" spans="2:3" x14ac:dyDescent="0.25">
      <c r="B199"/>
      <c r="C199"/>
    </row>
    <row r="200" spans="2:3" x14ac:dyDescent="0.25">
      <c r="B200"/>
      <c r="C200"/>
    </row>
    <row r="201" spans="2:3" x14ac:dyDescent="0.25">
      <c r="B201"/>
      <c r="C201"/>
    </row>
    <row r="202" spans="2:3" x14ac:dyDescent="0.25">
      <c r="B202"/>
      <c r="C202"/>
    </row>
    <row r="203" spans="2:3" x14ac:dyDescent="0.25">
      <c r="B203"/>
      <c r="C203"/>
    </row>
    <row r="204" spans="2:3" x14ac:dyDescent="0.25">
      <c r="B204"/>
      <c r="C204"/>
    </row>
    <row r="205" spans="2:3" x14ac:dyDescent="0.25">
      <c r="B205"/>
      <c r="C205"/>
    </row>
    <row r="206" spans="2:3" x14ac:dyDescent="0.25">
      <c r="B206"/>
      <c r="C206"/>
    </row>
    <row r="207" spans="2:3" x14ac:dyDescent="0.25">
      <c r="B207"/>
      <c r="C207"/>
    </row>
    <row r="208" spans="2:3" x14ac:dyDescent="0.25">
      <c r="B208"/>
      <c r="C208"/>
    </row>
    <row r="209" spans="2:3" x14ac:dyDescent="0.25">
      <c r="B209"/>
      <c r="C209"/>
    </row>
    <row r="210" spans="2:3" x14ac:dyDescent="0.25">
      <c r="B210"/>
      <c r="C210"/>
    </row>
    <row r="211" spans="2:3" x14ac:dyDescent="0.25">
      <c r="B211"/>
      <c r="C211"/>
    </row>
    <row r="212" spans="2:3" x14ac:dyDescent="0.25">
      <c r="B212"/>
      <c r="C212"/>
    </row>
    <row r="213" spans="2:3" x14ac:dyDescent="0.25">
      <c r="B213"/>
      <c r="C213"/>
    </row>
    <row r="214" spans="2:3" x14ac:dyDescent="0.25">
      <c r="B214"/>
      <c r="C214"/>
    </row>
    <row r="215" spans="2:3" x14ac:dyDescent="0.25">
      <c r="B215"/>
      <c r="C215"/>
    </row>
    <row r="216" spans="2:3" x14ac:dyDescent="0.25">
      <c r="B216"/>
      <c r="C216"/>
    </row>
    <row r="217" spans="2:3" x14ac:dyDescent="0.25">
      <c r="B217"/>
      <c r="C217"/>
    </row>
    <row r="218" spans="2:3" x14ac:dyDescent="0.25">
      <c r="B218"/>
      <c r="C218"/>
    </row>
    <row r="219" spans="2:3" x14ac:dyDescent="0.25">
      <c r="B219"/>
      <c r="C219"/>
    </row>
    <row r="220" spans="2:3" x14ac:dyDescent="0.25">
      <c r="B220"/>
      <c r="C220"/>
    </row>
    <row r="221" spans="2:3" x14ac:dyDescent="0.25">
      <c r="B221"/>
      <c r="C221"/>
    </row>
    <row r="222" spans="2:3" x14ac:dyDescent="0.25">
      <c r="B222"/>
      <c r="C222"/>
    </row>
    <row r="223" spans="2:3" x14ac:dyDescent="0.25">
      <c r="B223"/>
      <c r="C223"/>
    </row>
    <row r="224" spans="2:3" x14ac:dyDescent="0.25">
      <c r="B224"/>
      <c r="C224"/>
    </row>
    <row r="225" spans="2:3" x14ac:dyDescent="0.25">
      <c r="B225"/>
      <c r="C225"/>
    </row>
    <row r="226" spans="2:3" x14ac:dyDescent="0.25">
      <c r="B226"/>
      <c r="C226"/>
    </row>
    <row r="227" spans="2:3" x14ac:dyDescent="0.25">
      <c r="B227"/>
      <c r="C227"/>
    </row>
    <row r="228" spans="2:3" x14ac:dyDescent="0.25">
      <c r="B228"/>
      <c r="C228"/>
    </row>
    <row r="229" spans="2:3" x14ac:dyDescent="0.25">
      <c r="B229"/>
      <c r="C229"/>
    </row>
    <row r="230" spans="2:3" x14ac:dyDescent="0.25">
      <c r="B230"/>
      <c r="C230"/>
    </row>
    <row r="231" spans="2:3" x14ac:dyDescent="0.25">
      <c r="B231"/>
      <c r="C231"/>
    </row>
    <row r="232" spans="2:3" x14ac:dyDescent="0.25">
      <c r="B232"/>
      <c r="C232"/>
    </row>
    <row r="233" spans="2:3" x14ac:dyDescent="0.25">
      <c r="B233"/>
      <c r="C233"/>
    </row>
    <row r="234" spans="2:3" x14ac:dyDescent="0.25">
      <c r="B234"/>
      <c r="C234"/>
    </row>
    <row r="235" spans="2:3" x14ac:dyDescent="0.25">
      <c r="B235"/>
      <c r="C235"/>
    </row>
    <row r="236" spans="2:3" x14ac:dyDescent="0.25">
      <c r="B236"/>
      <c r="C236"/>
    </row>
    <row r="237" spans="2:3" x14ac:dyDescent="0.25">
      <c r="B237"/>
      <c r="C237"/>
    </row>
    <row r="238" spans="2:3" x14ac:dyDescent="0.25">
      <c r="B238"/>
      <c r="C238"/>
    </row>
    <row r="239" spans="2:3" x14ac:dyDescent="0.25">
      <c r="B239"/>
      <c r="C239"/>
    </row>
    <row r="240" spans="2:3" x14ac:dyDescent="0.25">
      <c r="B240"/>
      <c r="C240"/>
    </row>
    <row r="241" spans="2:3" x14ac:dyDescent="0.25">
      <c r="B241"/>
      <c r="C241"/>
    </row>
    <row r="242" spans="2:3" x14ac:dyDescent="0.25">
      <c r="B242"/>
      <c r="C242"/>
    </row>
    <row r="243" spans="2:3" x14ac:dyDescent="0.25">
      <c r="B243"/>
      <c r="C243"/>
    </row>
    <row r="244" spans="2:3" x14ac:dyDescent="0.25">
      <c r="B244"/>
      <c r="C244"/>
    </row>
    <row r="245" spans="2:3" x14ac:dyDescent="0.25">
      <c r="B245"/>
      <c r="C245"/>
    </row>
    <row r="246" spans="2:3" x14ac:dyDescent="0.25">
      <c r="B246"/>
      <c r="C246"/>
    </row>
    <row r="247" spans="2:3" x14ac:dyDescent="0.25">
      <c r="B247"/>
      <c r="C247"/>
    </row>
    <row r="248" spans="2:3" x14ac:dyDescent="0.25">
      <c r="B248"/>
      <c r="C248"/>
    </row>
    <row r="249" spans="2:3" x14ac:dyDescent="0.25">
      <c r="B249"/>
      <c r="C249"/>
    </row>
    <row r="250" spans="2:3" x14ac:dyDescent="0.25">
      <c r="B250"/>
      <c r="C250"/>
    </row>
    <row r="251" spans="2:3" x14ac:dyDescent="0.25">
      <c r="B251"/>
      <c r="C251"/>
    </row>
    <row r="252" spans="2:3" x14ac:dyDescent="0.25">
      <c r="B252"/>
      <c r="C252"/>
    </row>
    <row r="253" spans="2:3" x14ac:dyDescent="0.25">
      <c r="B253"/>
      <c r="C253"/>
    </row>
    <row r="254" spans="2:3" x14ac:dyDescent="0.25">
      <c r="B254"/>
      <c r="C254"/>
    </row>
    <row r="255" spans="2:3" x14ac:dyDescent="0.25">
      <c r="B255"/>
      <c r="C255"/>
    </row>
    <row r="256" spans="2:3" x14ac:dyDescent="0.25">
      <c r="B256"/>
      <c r="C256"/>
    </row>
    <row r="257" spans="2:3" x14ac:dyDescent="0.25">
      <c r="B257"/>
      <c r="C257"/>
    </row>
    <row r="258" spans="2:3" x14ac:dyDescent="0.25">
      <c r="B258"/>
      <c r="C258"/>
    </row>
    <row r="259" spans="2:3" x14ac:dyDescent="0.25">
      <c r="B259"/>
      <c r="C259"/>
    </row>
    <row r="260" spans="2:3" x14ac:dyDescent="0.25">
      <c r="B260"/>
      <c r="C260"/>
    </row>
    <row r="261" spans="2:3" x14ac:dyDescent="0.25">
      <c r="B261"/>
      <c r="C261"/>
    </row>
    <row r="262" spans="2:3" x14ac:dyDescent="0.25">
      <c r="B262"/>
      <c r="C262"/>
    </row>
    <row r="263" spans="2:3" x14ac:dyDescent="0.25">
      <c r="B263"/>
      <c r="C263"/>
    </row>
    <row r="264" spans="2:3" x14ac:dyDescent="0.25">
      <c r="B264"/>
      <c r="C264"/>
    </row>
    <row r="265" spans="2:3" x14ac:dyDescent="0.25">
      <c r="B265"/>
      <c r="C265"/>
    </row>
    <row r="266" spans="2:3" x14ac:dyDescent="0.25">
      <c r="B266"/>
      <c r="C266"/>
    </row>
    <row r="267" spans="2:3" x14ac:dyDescent="0.25">
      <c r="B267"/>
      <c r="C267"/>
    </row>
    <row r="268" spans="2:3" x14ac:dyDescent="0.25">
      <c r="B268"/>
      <c r="C268"/>
    </row>
    <row r="269" spans="2:3" x14ac:dyDescent="0.25">
      <c r="B269"/>
      <c r="C269"/>
    </row>
    <row r="270" spans="2:3" x14ac:dyDescent="0.25">
      <c r="B270"/>
      <c r="C270"/>
    </row>
    <row r="271" spans="2:3" x14ac:dyDescent="0.25">
      <c r="B271"/>
      <c r="C271"/>
    </row>
    <row r="272" spans="2:3" x14ac:dyDescent="0.25">
      <c r="B272"/>
      <c r="C272"/>
    </row>
    <row r="273" spans="2:3" x14ac:dyDescent="0.25">
      <c r="B273"/>
      <c r="C273"/>
    </row>
    <row r="274" spans="2:3" x14ac:dyDescent="0.25">
      <c r="B274"/>
      <c r="C274"/>
    </row>
    <row r="275" spans="2:3" x14ac:dyDescent="0.25">
      <c r="B275"/>
      <c r="C275"/>
    </row>
    <row r="276" spans="2:3" x14ac:dyDescent="0.25">
      <c r="B276"/>
      <c r="C276"/>
    </row>
    <row r="277" spans="2:3" x14ac:dyDescent="0.25">
      <c r="B277"/>
      <c r="C277"/>
    </row>
    <row r="278" spans="2:3" x14ac:dyDescent="0.25">
      <c r="B278"/>
      <c r="C278"/>
    </row>
    <row r="279" spans="2:3" x14ac:dyDescent="0.25">
      <c r="B279"/>
      <c r="C279"/>
    </row>
    <row r="280" spans="2:3" x14ac:dyDescent="0.25">
      <c r="B280"/>
      <c r="C280"/>
    </row>
    <row r="281" spans="2:3" x14ac:dyDescent="0.25">
      <c r="B281"/>
      <c r="C281"/>
    </row>
    <row r="282" spans="2:3" x14ac:dyDescent="0.25">
      <c r="B282"/>
      <c r="C282"/>
    </row>
    <row r="283" spans="2:3" x14ac:dyDescent="0.25">
      <c r="B283"/>
      <c r="C283"/>
    </row>
    <row r="284" spans="2:3" x14ac:dyDescent="0.25">
      <c r="B284"/>
      <c r="C284"/>
    </row>
    <row r="285" spans="2:3" x14ac:dyDescent="0.25">
      <c r="B285"/>
      <c r="C285"/>
    </row>
    <row r="286" spans="2:3" x14ac:dyDescent="0.25">
      <c r="B286"/>
      <c r="C286"/>
    </row>
    <row r="287" spans="2:3" x14ac:dyDescent="0.25">
      <c r="B287"/>
      <c r="C287"/>
    </row>
    <row r="288" spans="2:3" x14ac:dyDescent="0.25">
      <c r="B288"/>
      <c r="C288"/>
    </row>
    <row r="289" spans="2:3" x14ac:dyDescent="0.25">
      <c r="B289"/>
      <c r="C289"/>
    </row>
    <row r="290" spans="2:3" x14ac:dyDescent="0.25">
      <c r="B290"/>
      <c r="C290"/>
    </row>
    <row r="291" spans="2:3" x14ac:dyDescent="0.25">
      <c r="B291"/>
      <c r="C291"/>
    </row>
    <row r="292" spans="2:3" x14ac:dyDescent="0.25">
      <c r="B292"/>
      <c r="C292"/>
    </row>
    <row r="293" spans="2:3" x14ac:dyDescent="0.25">
      <c r="B293"/>
      <c r="C293"/>
    </row>
    <row r="294" spans="2:3" x14ac:dyDescent="0.25">
      <c r="B294"/>
      <c r="C294"/>
    </row>
    <row r="295" spans="2:3" x14ac:dyDescent="0.25">
      <c r="B295"/>
      <c r="C295"/>
    </row>
    <row r="296" spans="2:3" x14ac:dyDescent="0.25">
      <c r="B296"/>
      <c r="C296"/>
    </row>
    <row r="297" spans="2:3" x14ac:dyDescent="0.25">
      <c r="B297"/>
      <c r="C297"/>
    </row>
    <row r="298" spans="2:3" x14ac:dyDescent="0.25">
      <c r="B298"/>
      <c r="C298"/>
    </row>
    <row r="299" spans="2:3" x14ac:dyDescent="0.25">
      <c r="B299"/>
      <c r="C299"/>
    </row>
    <row r="300" spans="2:3" x14ac:dyDescent="0.25">
      <c r="B300"/>
      <c r="C300"/>
    </row>
    <row r="301" spans="2:3" x14ac:dyDescent="0.25">
      <c r="B301"/>
      <c r="C301"/>
    </row>
    <row r="302" spans="2:3" x14ac:dyDescent="0.25">
      <c r="B302"/>
      <c r="C302"/>
    </row>
    <row r="303" spans="2:3" x14ac:dyDescent="0.25">
      <c r="B303"/>
      <c r="C303"/>
    </row>
    <row r="304" spans="2:3" x14ac:dyDescent="0.25">
      <c r="B304"/>
      <c r="C304"/>
    </row>
    <row r="305" spans="2:3" x14ac:dyDescent="0.25">
      <c r="B305"/>
      <c r="C305"/>
    </row>
    <row r="306" spans="2:3" x14ac:dyDescent="0.25">
      <c r="B306"/>
      <c r="C306"/>
    </row>
    <row r="307" spans="2:3" x14ac:dyDescent="0.25">
      <c r="B307"/>
      <c r="C307"/>
    </row>
    <row r="308" spans="2:3" x14ac:dyDescent="0.25">
      <c r="B308"/>
      <c r="C308"/>
    </row>
    <row r="309" spans="2:3" x14ac:dyDescent="0.25">
      <c r="B309"/>
      <c r="C309"/>
    </row>
    <row r="310" spans="2:3" x14ac:dyDescent="0.25">
      <c r="B310"/>
      <c r="C310"/>
    </row>
    <row r="311" spans="2:3" x14ac:dyDescent="0.25">
      <c r="B311"/>
      <c r="C311"/>
    </row>
    <row r="312" spans="2:3" x14ac:dyDescent="0.25">
      <c r="B312"/>
      <c r="C312"/>
    </row>
    <row r="313" spans="2:3" x14ac:dyDescent="0.25">
      <c r="B313"/>
      <c r="C313"/>
    </row>
    <row r="314" spans="2:3" x14ac:dyDescent="0.25">
      <c r="B314"/>
      <c r="C314"/>
    </row>
    <row r="315" spans="2:3" x14ac:dyDescent="0.25">
      <c r="B315"/>
      <c r="C315"/>
    </row>
    <row r="316" spans="2:3" x14ac:dyDescent="0.25">
      <c r="B316"/>
      <c r="C316"/>
    </row>
    <row r="317" spans="2:3" x14ac:dyDescent="0.25">
      <c r="B317"/>
      <c r="C317"/>
    </row>
    <row r="318" spans="2:3" x14ac:dyDescent="0.25">
      <c r="B318"/>
      <c r="C318"/>
    </row>
    <row r="319" spans="2:3" x14ac:dyDescent="0.25">
      <c r="B319"/>
      <c r="C319"/>
    </row>
    <row r="320" spans="2:3" x14ac:dyDescent="0.25">
      <c r="B320"/>
      <c r="C320"/>
    </row>
    <row r="321" spans="2:3" x14ac:dyDescent="0.25">
      <c r="B321"/>
      <c r="C321"/>
    </row>
    <row r="322" spans="2:3" x14ac:dyDescent="0.25">
      <c r="B322"/>
      <c r="C322"/>
    </row>
    <row r="323" spans="2:3" x14ac:dyDescent="0.25">
      <c r="B323"/>
      <c r="C323"/>
    </row>
    <row r="324" spans="2:3" x14ac:dyDescent="0.25">
      <c r="B324"/>
      <c r="C324"/>
    </row>
    <row r="325" spans="2:3" x14ac:dyDescent="0.25">
      <c r="B325"/>
      <c r="C325"/>
    </row>
    <row r="326" spans="2:3" x14ac:dyDescent="0.25">
      <c r="B326"/>
      <c r="C326"/>
    </row>
    <row r="327" spans="2:3" x14ac:dyDescent="0.25">
      <c r="B327"/>
      <c r="C327"/>
    </row>
    <row r="328" spans="2:3" x14ac:dyDescent="0.25">
      <c r="B328"/>
      <c r="C328"/>
    </row>
    <row r="329" spans="2:3" x14ac:dyDescent="0.25">
      <c r="B329"/>
      <c r="C329"/>
    </row>
    <row r="330" spans="2:3" x14ac:dyDescent="0.25">
      <c r="B330"/>
      <c r="C330"/>
    </row>
    <row r="331" spans="2:3" x14ac:dyDescent="0.25">
      <c r="B331"/>
      <c r="C331"/>
    </row>
    <row r="332" spans="2:3" x14ac:dyDescent="0.25">
      <c r="B332"/>
      <c r="C332"/>
    </row>
    <row r="333" spans="2:3" x14ac:dyDescent="0.25">
      <c r="B333"/>
      <c r="C333"/>
    </row>
    <row r="334" spans="2:3" x14ac:dyDescent="0.25">
      <c r="B334"/>
      <c r="C334"/>
    </row>
    <row r="335" spans="2:3" x14ac:dyDescent="0.25">
      <c r="B335"/>
      <c r="C335"/>
    </row>
    <row r="336" spans="2:3" x14ac:dyDescent="0.25">
      <c r="B336"/>
      <c r="C336"/>
    </row>
    <row r="337" spans="2:3" x14ac:dyDescent="0.25">
      <c r="B337"/>
      <c r="C337"/>
    </row>
    <row r="338" spans="2:3" x14ac:dyDescent="0.25">
      <c r="B338"/>
    </row>
    <row r="339" spans="2:3" x14ac:dyDescent="0.25">
      <c r="B339"/>
    </row>
    <row r="340" spans="2:3" x14ac:dyDescent="0.25">
      <c r="B340"/>
    </row>
    <row r="341" spans="2:3" x14ac:dyDescent="0.25">
      <c r="B341"/>
    </row>
    <row r="342" spans="2:3" x14ac:dyDescent="0.25">
      <c r="B342"/>
    </row>
    <row r="343" spans="2:3" x14ac:dyDescent="0.25">
      <c r="B343"/>
    </row>
    <row r="344" spans="2:3" x14ac:dyDescent="0.25">
      <c r="B344"/>
    </row>
    <row r="345" spans="2:3" x14ac:dyDescent="0.25">
      <c r="B345"/>
    </row>
    <row r="346" spans="2:3" x14ac:dyDescent="0.25">
      <c r="B346"/>
    </row>
    <row r="347" spans="2:3" x14ac:dyDescent="0.25">
      <c r="B347"/>
    </row>
    <row r="348" spans="2:3" x14ac:dyDescent="0.25">
      <c r="B348"/>
    </row>
    <row r="349" spans="2:3" x14ac:dyDescent="0.25">
      <c r="B349"/>
    </row>
    <row r="350" spans="2:3" x14ac:dyDescent="0.25">
      <c r="B350"/>
    </row>
    <row r="351" spans="2:3" x14ac:dyDescent="0.25">
      <c r="B351"/>
    </row>
    <row r="352" spans="2:3" x14ac:dyDescent="0.25">
      <c r="B352"/>
    </row>
    <row r="353" spans="2:2" x14ac:dyDescent="0.25">
      <c r="B353"/>
    </row>
    <row r="354" spans="2:2" x14ac:dyDescent="0.25">
      <c r="B354"/>
    </row>
    <row r="355" spans="2:2" x14ac:dyDescent="0.25">
      <c r="B355"/>
    </row>
    <row r="356" spans="2:2" x14ac:dyDescent="0.25">
      <c r="B356"/>
    </row>
    <row r="357" spans="2:2" x14ac:dyDescent="0.25">
      <c r="B357"/>
    </row>
    <row r="358" spans="2:2" x14ac:dyDescent="0.25">
      <c r="B358"/>
    </row>
    <row r="359" spans="2:2" x14ac:dyDescent="0.25">
      <c r="B359"/>
    </row>
    <row r="360" spans="2:2" x14ac:dyDescent="0.25">
      <c r="B360"/>
    </row>
    <row r="361" spans="2:2" x14ac:dyDescent="0.25">
      <c r="B361"/>
    </row>
    <row r="362" spans="2:2" x14ac:dyDescent="0.25">
      <c r="B362"/>
    </row>
    <row r="363" spans="2:2" x14ac:dyDescent="0.25">
      <c r="B363"/>
    </row>
    <row r="364" spans="2:2" x14ac:dyDescent="0.25">
      <c r="B364"/>
    </row>
    <row r="365" spans="2:2" x14ac:dyDescent="0.25">
      <c r="B365"/>
    </row>
    <row r="366" spans="2:2" x14ac:dyDescent="0.25">
      <c r="B366"/>
    </row>
    <row r="367" spans="2:2" x14ac:dyDescent="0.25">
      <c r="B367"/>
    </row>
    <row r="368" spans="2:2" x14ac:dyDescent="0.25">
      <c r="B368"/>
    </row>
    <row r="369" spans="2:2" x14ac:dyDescent="0.25">
      <c r="B369"/>
    </row>
    <row r="370" spans="2:2" x14ac:dyDescent="0.25">
      <c r="B370"/>
    </row>
    <row r="371" spans="2:2" x14ac:dyDescent="0.25">
      <c r="B371"/>
    </row>
    <row r="372" spans="2:2" x14ac:dyDescent="0.25">
      <c r="B372"/>
    </row>
    <row r="373" spans="2:2" x14ac:dyDescent="0.25">
      <c r="B373"/>
    </row>
    <row r="374" spans="2:2" x14ac:dyDescent="0.25">
      <c r="B374"/>
    </row>
    <row r="375" spans="2:2" x14ac:dyDescent="0.25">
      <c r="B375"/>
    </row>
    <row r="376" spans="2:2" x14ac:dyDescent="0.25">
      <c r="B376"/>
    </row>
    <row r="377" spans="2:2" x14ac:dyDescent="0.25">
      <c r="B377"/>
    </row>
    <row r="378" spans="2:2" x14ac:dyDescent="0.25">
      <c r="B378"/>
    </row>
    <row r="379" spans="2:2" x14ac:dyDescent="0.25">
      <c r="B379"/>
    </row>
    <row r="380" spans="2:2" x14ac:dyDescent="0.25">
      <c r="B380"/>
    </row>
    <row r="381" spans="2:2" x14ac:dyDescent="0.25">
      <c r="B381"/>
    </row>
    <row r="382" spans="2:2" x14ac:dyDescent="0.25">
      <c r="B382"/>
    </row>
    <row r="383" spans="2:2" x14ac:dyDescent="0.25">
      <c r="B383"/>
    </row>
    <row r="384" spans="2:2" x14ac:dyDescent="0.25">
      <c r="B384"/>
    </row>
    <row r="385" spans="2:2" x14ac:dyDescent="0.25">
      <c r="B385"/>
    </row>
    <row r="386" spans="2:2" x14ac:dyDescent="0.25">
      <c r="B386"/>
    </row>
    <row r="387" spans="2:2" x14ac:dyDescent="0.25">
      <c r="B387"/>
    </row>
    <row r="388" spans="2:2" x14ac:dyDescent="0.25">
      <c r="B388"/>
    </row>
    <row r="389" spans="2:2" x14ac:dyDescent="0.25">
      <c r="B389"/>
    </row>
    <row r="390" spans="2:2" x14ac:dyDescent="0.25">
      <c r="B390"/>
    </row>
    <row r="391" spans="2:2" x14ac:dyDescent="0.25">
      <c r="B391"/>
    </row>
    <row r="392" spans="2:2" x14ac:dyDescent="0.25">
      <c r="B392"/>
    </row>
    <row r="393" spans="2:2" x14ac:dyDescent="0.25">
      <c r="B393"/>
    </row>
    <row r="394" spans="2:2" x14ac:dyDescent="0.25">
      <c r="B394"/>
    </row>
    <row r="395" spans="2:2" x14ac:dyDescent="0.25">
      <c r="B395"/>
    </row>
    <row r="396" spans="2:2" x14ac:dyDescent="0.25">
      <c r="B396"/>
    </row>
    <row r="397" spans="2:2" x14ac:dyDescent="0.25">
      <c r="B397"/>
    </row>
    <row r="398" spans="2:2" x14ac:dyDescent="0.25">
      <c r="B398"/>
    </row>
    <row r="399" spans="2:2" x14ac:dyDescent="0.25">
      <c r="B399"/>
    </row>
    <row r="400" spans="2:2" x14ac:dyDescent="0.25">
      <c r="B400"/>
    </row>
    <row r="401" spans="2:2" x14ac:dyDescent="0.25">
      <c r="B401"/>
    </row>
    <row r="402" spans="2:2" x14ac:dyDescent="0.25">
      <c r="B402"/>
    </row>
    <row r="403" spans="2:2" x14ac:dyDescent="0.25">
      <c r="B403"/>
    </row>
    <row r="404" spans="2:2" x14ac:dyDescent="0.25">
      <c r="B404"/>
    </row>
    <row r="405" spans="2:2" x14ac:dyDescent="0.25">
      <c r="B405"/>
    </row>
    <row r="406" spans="2:2" x14ac:dyDescent="0.25">
      <c r="B406"/>
    </row>
    <row r="407" spans="2:2" x14ac:dyDescent="0.25">
      <c r="B407"/>
    </row>
    <row r="408" spans="2:2" x14ac:dyDescent="0.25">
      <c r="B408"/>
    </row>
    <row r="409" spans="2:2" x14ac:dyDescent="0.25">
      <c r="B409"/>
    </row>
    <row r="410" spans="2:2" x14ac:dyDescent="0.25">
      <c r="B410"/>
    </row>
    <row r="411" spans="2:2" x14ac:dyDescent="0.25">
      <c r="B411"/>
    </row>
    <row r="412" spans="2:2" x14ac:dyDescent="0.25">
      <c r="B412"/>
    </row>
    <row r="413" spans="2:2" x14ac:dyDescent="0.25">
      <c r="B413"/>
    </row>
    <row r="414" spans="2:2" x14ac:dyDescent="0.25">
      <c r="B414"/>
    </row>
    <row r="415" spans="2:2" x14ac:dyDescent="0.25">
      <c r="B415"/>
    </row>
    <row r="416" spans="2:2" x14ac:dyDescent="0.25">
      <c r="B416"/>
    </row>
    <row r="417" spans="2:2" x14ac:dyDescent="0.25">
      <c r="B417"/>
    </row>
    <row r="418" spans="2:2" x14ac:dyDescent="0.25">
      <c r="B418"/>
    </row>
    <row r="419" spans="2:2" x14ac:dyDescent="0.25">
      <c r="B419"/>
    </row>
    <row r="420" spans="2:2" x14ac:dyDescent="0.25">
      <c r="B420"/>
    </row>
    <row r="421" spans="2:2" x14ac:dyDescent="0.25">
      <c r="B421"/>
    </row>
    <row r="422" spans="2:2" x14ac:dyDescent="0.25">
      <c r="B422"/>
    </row>
    <row r="423" spans="2:2" x14ac:dyDescent="0.25">
      <c r="B423"/>
    </row>
    <row r="424" spans="2:2" x14ac:dyDescent="0.25">
      <c r="B424"/>
    </row>
    <row r="425" spans="2:2" x14ac:dyDescent="0.25">
      <c r="B425"/>
    </row>
    <row r="426" spans="2:2" x14ac:dyDescent="0.25">
      <c r="B426"/>
    </row>
    <row r="427" spans="2:2" x14ac:dyDescent="0.25">
      <c r="B427"/>
    </row>
    <row r="428" spans="2:2" x14ac:dyDescent="0.25">
      <c r="B428"/>
    </row>
    <row r="429" spans="2:2" x14ac:dyDescent="0.25">
      <c r="B429"/>
    </row>
    <row r="430" spans="2:2" x14ac:dyDescent="0.25">
      <c r="B430"/>
    </row>
    <row r="431" spans="2:2" x14ac:dyDescent="0.25">
      <c r="B431"/>
    </row>
    <row r="432" spans="2:2" x14ac:dyDescent="0.25">
      <c r="B432"/>
    </row>
    <row r="433" spans="2:2" x14ac:dyDescent="0.25">
      <c r="B433"/>
    </row>
    <row r="434" spans="2:2" x14ac:dyDescent="0.25">
      <c r="B434"/>
    </row>
    <row r="435" spans="2:2" x14ac:dyDescent="0.25">
      <c r="B435"/>
    </row>
    <row r="436" spans="2:2" x14ac:dyDescent="0.25">
      <c r="B436"/>
    </row>
    <row r="437" spans="2:2" x14ac:dyDescent="0.25">
      <c r="B437"/>
    </row>
    <row r="438" spans="2:2" x14ac:dyDescent="0.25">
      <c r="B438"/>
    </row>
    <row r="439" spans="2:2" x14ac:dyDescent="0.25">
      <c r="B439"/>
    </row>
    <row r="440" spans="2:2" x14ac:dyDescent="0.25">
      <c r="B440"/>
    </row>
    <row r="441" spans="2:2" x14ac:dyDescent="0.25">
      <c r="B441"/>
    </row>
    <row r="442" spans="2:2" x14ac:dyDescent="0.25">
      <c r="B442"/>
    </row>
    <row r="443" spans="2:2" x14ac:dyDescent="0.25">
      <c r="B443"/>
    </row>
    <row r="444" spans="2:2" x14ac:dyDescent="0.25">
      <c r="B444"/>
    </row>
    <row r="445" spans="2:2" x14ac:dyDescent="0.25">
      <c r="B445"/>
    </row>
    <row r="446" spans="2:2" x14ac:dyDescent="0.25">
      <c r="B446"/>
    </row>
    <row r="447" spans="2:2" x14ac:dyDescent="0.25">
      <c r="B447"/>
    </row>
    <row r="448" spans="2:2" x14ac:dyDescent="0.25">
      <c r="B448"/>
    </row>
    <row r="449" spans="2:2" x14ac:dyDescent="0.25">
      <c r="B449"/>
    </row>
    <row r="450" spans="2:2" x14ac:dyDescent="0.25">
      <c r="B450"/>
    </row>
    <row r="451" spans="2:2" x14ac:dyDescent="0.25">
      <c r="B451"/>
    </row>
    <row r="452" spans="2:2" x14ac:dyDescent="0.25">
      <c r="B452"/>
    </row>
    <row r="453" spans="2:2" x14ac:dyDescent="0.25">
      <c r="B453"/>
    </row>
    <row r="454" spans="2:2" x14ac:dyDescent="0.25">
      <c r="B454"/>
    </row>
    <row r="455" spans="2:2" x14ac:dyDescent="0.25">
      <c r="B455"/>
    </row>
    <row r="456" spans="2:2" x14ac:dyDescent="0.25">
      <c r="B456"/>
    </row>
    <row r="457" spans="2:2" x14ac:dyDescent="0.25">
      <c r="B457"/>
    </row>
    <row r="458" spans="2:2" x14ac:dyDescent="0.25">
      <c r="B458"/>
    </row>
    <row r="459" spans="2:2" x14ac:dyDescent="0.25">
      <c r="B459"/>
    </row>
    <row r="460" spans="2:2" x14ac:dyDescent="0.25">
      <c r="B460"/>
    </row>
    <row r="461" spans="2:2" x14ac:dyDescent="0.25">
      <c r="B461"/>
    </row>
    <row r="462" spans="2:2" x14ac:dyDescent="0.25">
      <c r="B462"/>
    </row>
    <row r="463" spans="2:2" x14ac:dyDescent="0.25">
      <c r="B463"/>
    </row>
    <row r="464" spans="2:2" x14ac:dyDescent="0.25">
      <c r="B464"/>
    </row>
    <row r="465" spans="2:2" x14ac:dyDescent="0.25">
      <c r="B465"/>
    </row>
    <row r="466" spans="2:2" x14ac:dyDescent="0.25">
      <c r="B466"/>
    </row>
    <row r="467" spans="2:2" x14ac:dyDescent="0.25">
      <c r="B467"/>
    </row>
    <row r="468" spans="2:2" x14ac:dyDescent="0.25">
      <c r="B468"/>
    </row>
    <row r="469" spans="2:2" x14ac:dyDescent="0.25">
      <c r="B469"/>
    </row>
    <row r="470" spans="2:2" x14ac:dyDescent="0.25">
      <c r="B470"/>
    </row>
    <row r="471" spans="2:2" x14ac:dyDescent="0.25">
      <c r="B471"/>
    </row>
    <row r="472" spans="2:2" x14ac:dyDescent="0.25">
      <c r="B472"/>
    </row>
    <row r="473" spans="2:2" x14ac:dyDescent="0.25">
      <c r="B473"/>
    </row>
    <row r="474" spans="2:2" x14ac:dyDescent="0.25">
      <c r="B474"/>
    </row>
    <row r="475" spans="2:2" x14ac:dyDescent="0.25">
      <c r="B475"/>
    </row>
    <row r="476" spans="2:2" x14ac:dyDescent="0.25">
      <c r="B476"/>
    </row>
    <row r="477" spans="2:2" x14ac:dyDescent="0.25">
      <c r="B477"/>
    </row>
    <row r="478" spans="2:2" x14ac:dyDescent="0.25">
      <c r="B478"/>
    </row>
    <row r="479" spans="2:2" x14ac:dyDescent="0.25">
      <c r="B479"/>
    </row>
    <row r="480" spans="2:2" x14ac:dyDescent="0.25">
      <c r="B480"/>
    </row>
    <row r="481" spans="2:2" x14ac:dyDescent="0.25">
      <c r="B481"/>
    </row>
    <row r="482" spans="2:2" x14ac:dyDescent="0.25">
      <c r="B482"/>
    </row>
    <row r="483" spans="2:2" x14ac:dyDescent="0.25">
      <c r="B483"/>
    </row>
    <row r="484" spans="2:2" x14ac:dyDescent="0.25">
      <c r="B484"/>
    </row>
    <row r="485" spans="2:2" x14ac:dyDescent="0.25">
      <c r="B485"/>
    </row>
    <row r="486" spans="2:2" x14ac:dyDescent="0.25">
      <c r="B486"/>
    </row>
    <row r="487" spans="2:2" x14ac:dyDescent="0.25">
      <c r="B487"/>
    </row>
    <row r="488" spans="2:2" x14ac:dyDescent="0.25">
      <c r="B488"/>
    </row>
    <row r="489" spans="2:2" x14ac:dyDescent="0.25">
      <c r="B489"/>
    </row>
    <row r="490" spans="2:2" x14ac:dyDescent="0.25">
      <c r="B490"/>
    </row>
    <row r="491" spans="2:2" x14ac:dyDescent="0.25">
      <c r="B491"/>
    </row>
    <row r="492" spans="2:2" x14ac:dyDescent="0.25">
      <c r="B492"/>
    </row>
    <row r="493" spans="2:2" x14ac:dyDescent="0.25">
      <c r="B493"/>
    </row>
    <row r="494" spans="2:2" x14ac:dyDescent="0.25">
      <c r="B494"/>
    </row>
    <row r="495" spans="2:2" x14ac:dyDescent="0.25">
      <c r="B495"/>
    </row>
    <row r="496" spans="2:2" x14ac:dyDescent="0.25">
      <c r="B496"/>
    </row>
    <row r="497" spans="2:2" x14ac:dyDescent="0.25">
      <c r="B497"/>
    </row>
    <row r="498" spans="2:2" x14ac:dyDescent="0.25">
      <c r="B498"/>
    </row>
    <row r="499" spans="2:2" x14ac:dyDescent="0.25">
      <c r="B499"/>
    </row>
  </sheetData>
  <conditionalFormatting sqref="B9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9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0:B9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0:C9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90:C9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A9">
      <formula1>($C$2:$C$4)</formula1>
    </dataValidation>
  </dataValidations>
  <pageMargins left="0.7" right="0.7" top="0.75" bottom="0.75" header="0.3" footer="0.3"/>
  <pageSetup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SALES__DATA</vt:lpstr>
      <vt:lpstr>PRODUCTION_DATA</vt:lpstr>
      <vt:lpstr>TIME OF PRODUCTION</vt:lpstr>
      <vt:lpstr>COST BREAKDOWN OVER TIME</vt:lpstr>
      <vt:lpstr>INPUT vs OUTPUT EFFICIENCY</vt:lpstr>
      <vt:lpstr>TIME OF SALES</vt:lpstr>
      <vt:lpstr>RATE PER BLOCK TYPES OVERTIME</vt:lpstr>
      <vt:lpstr>CUSTOMER VALUE ANALYSIS </vt:lpstr>
      <vt:lpstr>CUSTOMER CREDIT RISK </vt:lpstr>
      <vt:lpstr>PROFIT ANALYSIS OVER TIME </vt:lpstr>
      <vt:lpstr>OVERALL_TOTAL</vt:lpstr>
      <vt:lpstr>KPI_DASHBOARD</vt:lpstr>
      <vt:lpstr>CHARTS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2026-04-05T16:57:57Z</dcterms:created>
  <dcterms:modified xsi:type="dcterms:W3CDTF">2026-05-09T18:13:00Z</dcterms:modified>
</cp:coreProperties>
</file>